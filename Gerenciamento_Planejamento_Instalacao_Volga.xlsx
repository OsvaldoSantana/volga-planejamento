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svaldo.junior\Downloads\"/>
    </mc:Choice>
  </mc:AlternateContent>
  <xr:revisionPtr revIDLastSave="0" documentId="13_ncr:1_{DEC43CC7-519D-4801-B073-C30339354F2F}" xr6:coauthVersionLast="47" xr6:coauthVersionMax="47" xr10:uidLastSave="{00000000-0000-0000-0000-000000000000}"/>
  <bookViews>
    <workbookView xWindow="0" yWindow="360" windowWidth="23256" windowHeight="12456" tabRatio="500" firstSheet="1" activeTab="1" xr2:uid="{00000000-000D-0000-FFFF-FFFF00000000}"/>
  </bookViews>
  <sheets>
    <sheet name="Painel" sheetId="1" state="hidden" r:id="rId1"/>
    <sheet name="Carteira" sheetId="2" r:id="rId2"/>
    <sheet name="Planilha1" sheetId="6" r:id="rId3"/>
    <sheet name="Histórico" sheetId="3" state="hidden" r:id="rId4"/>
    <sheet name="Listas" sheetId="4" state="hidden" r:id="rId5"/>
    <sheet name="Guia" sheetId="5" state="hidden" r:id="rId6"/>
  </sheets>
  <definedNames>
    <definedName name="_xlnm._FilterDatabase" localSheetId="1" hidden="1">Carteira!$A$4:$P$204</definedName>
    <definedName name="_xlnm._FilterDatabase" localSheetId="3" hidden="1">Histórico!$A$4:$F$1004</definedName>
    <definedName name="_xlnm.Print_Area" localSheetId="0">Painel!$A$1:$O$56</definedName>
    <definedName name="lst_cadencia">OFFSET(Listas!$C$3,0,0,MAX(1,COUNTA(Listas!$C$3:$C$100)),1)</definedName>
    <definedName name="lst_evento">OFFSET(Listas!$G$3,0,0,MAX(1,COUNTA(Listas!$G$3:$G$100)),1)</definedName>
    <definedName name="lst_fase">OFFSET(Listas!$A$3,0,0,MAX(1,COUNTA(Listas!$A$3:$A$100)),1)</definedName>
    <definedName name="lst_mobilizacao">OFFSET(Listas!$D$3,0,0,MAX(1,COUNTA(Listas!$D$3:$D$100)),1)</definedName>
    <definedName name="lst_obras">OFFSET(Carteira!$A$5,0,0,MAX(1,COUNTA(Carteira!$A$5:$A$204)),1)</definedName>
    <definedName name="lst_origem">OFFSET(Listas!$F$3,0,0,MAX(1,COUNTA(Listas!$F$3:$F$100)),1)</definedName>
    <definedName name="lst_pm">OFFSET(Listas!$H$3,0,0,MAX(1,COUNTA(Listas!$H$3:$H$100)),1)</definedName>
    <definedName name="lst_situacao">OFFSET(Listas!$B$3,0,0,MAX(1,COUNTA(Listas!$B$3:$B$100)),1)</definedName>
    <definedName name="lst_status">OFFSET(Listas!$E$3,0,0,MAX(1,COUNTA(Listas!$E$3:$E$100)),1)</definedName>
    <definedName name="par_alerta_dias">Listas!$K$3</definedName>
    <definedName name="par_critico_dias">Listas!$K$4</definedName>
    <definedName name="par_mob_alerta">Listas!$K$5</definedName>
    <definedName name="par_mob_critico">Listas!$K$6</definedName>
    <definedName name="_xlnm.Print_Titles" localSheetId="1">Carteira!$3:$4</definedName>
    <definedName name="_xlnm.Print_Titles" localSheetId="3">Histórico!$4:$4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04" i="3" l="1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Q204" i="2"/>
  <c r="M204" i="2"/>
  <c r="L204" i="2"/>
  <c r="K204" i="2"/>
  <c r="Q203" i="2"/>
  <c r="M203" i="2"/>
  <c r="L203" i="2"/>
  <c r="K203" i="2"/>
  <c r="Q202" i="2"/>
  <c r="M202" i="2"/>
  <c r="L202" i="2"/>
  <c r="K202" i="2"/>
  <c r="Q201" i="2"/>
  <c r="M201" i="2"/>
  <c r="L201" i="2"/>
  <c r="K201" i="2"/>
  <c r="Q200" i="2"/>
  <c r="M200" i="2"/>
  <c r="L200" i="2"/>
  <c r="K200" i="2"/>
  <c r="Q199" i="2"/>
  <c r="M199" i="2"/>
  <c r="L199" i="2"/>
  <c r="K199" i="2"/>
  <c r="Q198" i="2"/>
  <c r="M198" i="2"/>
  <c r="L198" i="2"/>
  <c r="K198" i="2"/>
  <c r="Q197" i="2"/>
  <c r="M197" i="2"/>
  <c r="L197" i="2"/>
  <c r="K197" i="2"/>
  <c r="Q196" i="2"/>
  <c r="M196" i="2"/>
  <c r="L196" i="2"/>
  <c r="K196" i="2"/>
  <c r="Q195" i="2"/>
  <c r="M195" i="2"/>
  <c r="L195" i="2"/>
  <c r="K195" i="2"/>
  <c r="Q194" i="2"/>
  <c r="M194" i="2"/>
  <c r="L194" i="2"/>
  <c r="K194" i="2"/>
  <c r="Q193" i="2"/>
  <c r="M193" i="2"/>
  <c r="L193" i="2"/>
  <c r="K193" i="2"/>
  <c r="Q192" i="2"/>
  <c r="M192" i="2"/>
  <c r="L192" i="2"/>
  <c r="K192" i="2"/>
  <c r="Q191" i="2"/>
  <c r="M191" i="2"/>
  <c r="L191" i="2"/>
  <c r="K191" i="2"/>
  <c r="Q190" i="2"/>
  <c r="M190" i="2"/>
  <c r="L190" i="2"/>
  <c r="K190" i="2"/>
  <c r="Q189" i="2"/>
  <c r="M189" i="2"/>
  <c r="L189" i="2"/>
  <c r="K189" i="2"/>
  <c r="Q188" i="2"/>
  <c r="M188" i="2"/>
  <c r="L188" i="2"/>
  <c r="K188" i="2"/>
  <c r="Q187" i="2"/>
  <c r="M187" i="2"/>
  <c r="L187" i="2"/>
  <c r="K187" i="2"/>
  <c r="Q186" i="2"/>
  <c r="M186" i="2"/>
  <c r="L186" i="2"/>
  <c r="K186" i="2"/>
  <c r="Q185" i="2"/>
  <c r="M185" i="2"/>
  <c r="L185" i="2"/>
  <c r="K185" i="2"/>
  <c r="Q184" i="2"/>
  <c r="M184" i="2"/>
  <c r="L184" i="2"/>
  <c r="K184" i="2"/>
  <c r="Q183" i="2"/>
  <c r="M183" i="2"/>
  <c r="L183" i="2"/>
  <c r="K183" i="2"/>
  <c r="Q182" i="2"/>
  <c r="M182" i="2"/>
  <c r="L182" i="2"/>
  <c r="K182" i="2"/>
  <c r="Q181" i="2"/>
  <c r="M181" i="2"/>
  <c r="L181" i="2"/>
  <c r="K181" i="2"/>
  <c r="Q180" i="2"/>
  <c r="M180" i="2"/>
  <c r="L180" i="2"/>
  <c r="K180" i="2"/>
  <c r="Q179" i="2"/>
  <c r="M179" i="2"/>
  <c r="L179" i="2"/>
  <c r="K179" i="2"/>
  <c r="Q178" i="2"/>
  <c r="M178" i="2"/>
  <c r="L178" i="2"/>
  <c r="K178" i="2"/>
  <c r="Q177" i="2"/>
  <c r="M177" i="2"/>
  <c r="L177" i="2"/>
  <c r="K177" i="2"/>
  <c r="Q176" i="2"/>
  <c r="M176" i="2"/>
  <c r="L176" i="2"/>
  <c r="K176" i="2"/>
  <c r="Q175" i="2"/>
  <c r="M175" i="2"/>
  <c r="L175" i="2"/>
  <c r="K175" i="2"/>
  <c r="Q174" i="2"/>
  <c r="M174" i="2"/>
  <c r="L174" i="2"/>
  <c r="K174" i="2"/>
  <c r="Q173" i="2"/>
  <c r="M173" i="2"/>
  <c r="L173" i="2"/>
  <c r="K173" i="2"/>
  <c r="Q172" i="2"/>
  <c r="M172" i="2"/>
  <c r="L172" i="2"/>
  <c r="K172" i="2"/>
  <c r="Q171" i="2"/>
  <c r="M171" i="2"/>
  <c r="L171" i="2"/>
  <c r="K171" i="2"/>
  <c r="Q170" i="2"/>
  <c r="M170" i="2"/>
  <c r="L170" i="2"/>
  <c r="K170" i="2"/>
  <c r="Q169" i="2"/>
  <c r="M169" i="2"/>
  <c r="L169" i="2"/>
  <c r="K169" i="2"/>
  <c r="Q168" i="2"/>
  <c r="M168" i="2"/>
  <c r="L168" i="2"/>
  <c r="K168" i="2"/>
  <c r="Q167" i="2"/>
  <c r="M167" i="2"/>
  <c r="L167" i="2"/>
  <c r="K167" i="2"/>
  <c r="Q166" i="2"/>
  <c r="M166" i="2"/>
  <c r="L166" i="2"/>
  <c r="K166" i="2"/>
  <c r="Q165" i="2"/>
  <c r="M165" i="2"/>
  <c r="L165" i="2"/>
  <c r="K165" i="2"/>
  <c r="Q164" i="2"/>
  <c r="M164" i="2"/>
  <c r="L164" i="2"/>
  <c r="K164" i="2"/>
  <c r="Q163" i="2"/>
  <c r="M163" i="2"/>
  <c r="L163" i="2"/>
  <c r="K163" i="2"/>
  <c r="Q162" i="2"/>
  <c r="M162" i="2"/>
  <c r="L162" i="2"/>
  <c r="K162" i="2"/>
  <c r="Q161" i="2"/>
  <c r="M161" i="2"/>
  <c r="L161" i="2"/>
  <c r="K161" i="2"/>
  <c r="Q160" i="2"/>
  <c r="M160" i="2"/>
  <c r="L160" i="2"/>
  <c r="K160" i="2"/>
  <c r="Q159" i="2"/>
  <c r="M159" i="2"/>
  <c r="L159" i="2"/>
  <c r="K159" i="2"/>
  <c r="Q158" i="2"/>
  <c r="M158" i="2"/>
  <c r="L158" i="2"/>
  <c r="K158" i="2"/>
  <c r="Q157" i="2"/>
  <c r="M157" i="2"/>
  <c r="L157" i="2"/>
  <c r="K157" i="2"/>
  <c r="Q156" i="2"/>
  <c r="M156" i="2"/>
  <c r="L156" i="2"/>
  <c r="K156" i="2"/>
  <c r="Q155" i="2"/>
  <c r="M155" i="2"/>
  <c r="L155" i="2"/>
  <c r="K155" i="2"/>
  <c r="Q154" i="2"/>
  <c r="M154" i="2"/>
  <c r="L154" i="2"/>
  <c r="K154" i="2"/>
  <c r="Q153" i="2"/>
  <c r="M153" i="2"/>
  <c r="L153" i="2"/>
  <c r="K153" i="2"/>
  <c r="Q152" i="2"/>
  <c r="M152" i="2"/>
  <c r="L152" i="2"/>
  <c r="K152" i="2"/>
  <c r="Q151" i="2"/>
  <c r="M151" i="2"/>
  <c r="L151" i="2"/>
  <c r="K151" i="2"/>
  <c r="Q150" i="2"/>
  <c r="M150" i="2"/>
  <c r="L150" i="2"/>
  <c r="K150" i="2"/>
  <c r="Q149" i="2"/>
  <c r="M149" i="2"/>
  <c r="L149" i="2"/>
  <c r="K149" i="2"/>
  <c r="Q148" i="2"/>
  <c r="M148" i="2"/>
  <c r="L148" i="2"/>
  <c r="K148" i="2"/>
  <c r="Q147" i="2"/>
  <c r="M147" i="2"/>
  <c r="L147" i="2"/>
  <c r="K147" i="2"/>
  <c r="Q146" i="2"/>
  <c r="M146" i="2"/>
  <c r="L146" i="2"/>
  <c r="K146" i="2"/>
  <c r="Q145" i="2"/>
  <c r="M145" i="2"/>
  <c r="L145" i="2"/>
  <c r="K145" i="2"/>
  <c r="Q144" i="2"/>
  <c r="M144" i="2"/>
  <c r="L144" i="2"/>
  <c r="K144" i="2"/>
  <c r="Q143" i="2"/>
  <c r="M143" i="2"/>
  <c r="L143" i="2"/>
  <c r="K143" i="2"/>
  <c r="Q142" i="2"/>
  <c r="M142" i="2"/>
  <c r="L142" i="2"/>
  <c r="K142" i="2"/>
  <c r="Q141" i="2"/>
  <c r="M141" i="2"/>
  <c r="L141" i="2"/>
  <c r="K141" i="2"/>
  <c r="Q140" i="2"/>
  <c r="M140" i="2"/>
  <c r="L140" i="2"/>
  <c r="K140" i="2"/>
  <c r="Q139" i="2"/>
  <c r="M139" i="2"/>
  <c r="L139" i="2"/>
  <c r="K139" i="2"/>
  <c r="Q138" i="2"/>
  <c r="M138" i="2"/>
  <c r="L138" i="2"/>
  <c r="K138" i="2"/>
  <c r="Q137" i="2"/>
  <c r="M137" i="2"/>
  <c r="L137" i="2"/>
  <c r="K137" i="2"/>
  <c r="Q136" i="2"/>
  <c r="M136" i="2"/>
  <c r="L136" i="2"/>
  <c r="K136" i="2"/>
  <c r="Q135" i="2"/>
  <c r="M135" i="2"/>
  <c r="L135" i="2"/>
  <c r="K135" i="2"/>
  <c r="Q134" i="2"/>
  <c r="M134" i="2"/>
  <c r="L134" i="2"/>
  <c r="K134" i="2"/>
  <c r="Q133" i="2"/>
  <c r="M133" i="2"/>
  <c r="L133" i="2"/>
  <c r="K133" i="2"/>
  <c r="Q132" i="2"/>
  <c r="M132" i="2"/>
  <c r="L132" i="2"/>
  <c r="K132" i="2"/>
  <c r="Q131" i="2"/>
  <c r="M131" i="2"/>
  <c r="L131" i="2"/>
  <c r="K131" i="2"/>
  <c r="Q130" i="2"/>
  <c r="M130" i="2"/>
  <c r="L130" i="2"/>
  <c r="K130" i="2"/>
  <c r="Q129" i="2"/>
  <c r="M129" i="2"/>
  <c r="L129" i="2"/>
  <c r="K129" i="2"/>
  <c r="Q128" i="2"/>
  <c r="M128" i="2"/>
  <c r="L128" i="2"/>
  <c r="K128" i="2"/>
  <c r="Q127" i="2"/>
  <c r="M127" i="2"/>
  <c r="L127" i="2"/>
  <c r="K127" i="2"/>
  <c r="Q126" i="2"/>
  <c r="M126" i="2"/>
  <c r="L126" i="2"/>
  <c r="K126" i="2"/>
  <c r="Q125" i="2"/>
  <c r="M125" i="2"/>
  <c r="L125" i="2"/>
  <c r="K125" i="2"/>
  <c r="Q124" i="2"/>
  <c r="M124" i="2"/>
  <c r="L124" i="2"/>
  <c r="K124" i="2"/>
  <c r="Q123" i="2"/>
  <c r="M123" i="2"/>
  <c r="L123" i="2"/>
  <c r="K123" i="2"/>
  <c r="Q122" i="2"/>
  <c r="M122" i="2"/>
  <c r="L122" i="2"/>
  <c r="K122" i="2"/>
  <c r="Q121" i="2"/>
  <c r="M121" i="2"/>
  <c r="L121" i="2"/>
  <c r="K121" i="2"/>
  <c r="Q120" i="2"/>
  <c r="M120" i="2"/>
  <c r="L120" i="2"/>
  <c r="K120" i="2"/>
  <c r="Q119" i="2"/>
  <c r="M119" i="2"/>
  <c r="L119" i="2"/>
  <c r="K119" i="2"/>
  <c r="Q118" i="2"/>
  <c r="M118" i="2"/>
  <c r="L118" i="2"/>
  <c r="K118" i="2"/>
  <c r="Q117" i="2"/>
  <c r="M117" i="2"/>
  <c r="L117" i="2"/>
  <c r="K117" i="2"/>
  <c r="Q116" i="2"/>
  <c r="M116" i="2"/>
  <c r="L116" i="2"/>
  <c r="K116" i="2"/>
  <c r="Q115" i="2"/>
  <c r="M115" i="2"/>
  <c r="L115" i="2"/>
  <c r="K115" i="2"/>
  <c r="Q114" i="2"/>
  <c r="M114" i="2"/>
  <c r="L114" i="2"/>
  <c r="K114" i="2"/>
  <c r="Q113" i="2"/>
  <c r="M113" i="2"/>
  <c r="L113" i="2"/>
  <c r="K113" i="2"/>
  <c r="Q112" i="2"/>
  <c r="M112" i="2"/>
  <c r="L112" i="2"/>
  <c r="K112" i="2"/>
  <c r="Q111" i="2"/>
  <c r="M111" i="2"/>
  <c r="L111" i="2"/>
  <c r="K111" i="2"/>
  <c r="Q110" i="2"/>
  <c r="M110" i="2"/>
  <c r="L110" i="2"/>
  <c r="K110" i="2"/>
  <c r="Q109" i="2"/>
  <c r="M109" i="2"/>
  <c r="L109" i="2"/>
  <c r="K109" i="2"/>
  <c r="Q108" i="2"/>
  <c r="M108" i="2"/>
  <c r="L108" i="2"/>
  <c r="K108" i="2"/>
  <c r="Q107" i="2"/>
  <c r="M107" i="2"/>
  <c r="L107" i="2"/>
  <c r="K107" i="2"/>
  <c r="Q106" i="2"/>
  <c r="M106" i="2"/>
  <c r="L106" i="2"/>
  <c r="K106" i="2"/>
  <c r="Q105" i="2"/>
  <c r="M105" i="2"/>
  <c r="L105" i="2"/>
  <c r="K105" i="2"/>
  <c r="Q104" i="2"/>
  <c r="M104" i="2"/>
  <c r="L104" i="2"/>
  <c r="K104" i="2"/>
  <c r="Q103" i="2"/>
  <c r="M103" i="2"/>
  <c r="L103" i="2"/>
  <c r="K103" i="2"/>
  <c r="Q102" i="2"/>
  <c r="M102" i="2"/>
  <c r="L102" i="2"/>
  <c r="K102" i="2"/>
  <c r="Q101" i="2"/>
  <c r="M101" i="2"/>
  <c r="L101" i="2"/>
  <c r="K101" i="2"/>
  <c r="Q100" i="2"/>
  <c r="M100" i="2"/>
  <c r="L100" i="2"/>
  <c r="K100" i="2"/>
  <c r="Q99" i="2"/>
  <c r="M99" i="2"/>
  <c r="L99" i="2"/>
  <c r="K99" i="2"/>
  <c r="Q98" i="2"/>
  <c r="M98" i="2"/>
  <c r="L98" i="2"/>
  <c r="K98" i="2"/>
  <c r="Q97" i="2"/>
  <c r="M97" i="2"/>
  <c r="L97" i="2"/>
  <c r="K97" i="2"/>
  <c r="Q96" i="2"/>
  <c r="M96" i="2"/>
  <c r="L96" i="2"/>
  <c r="K96" i="2"/>
  <c r="Q95" i="2"/>
  <c r="M95" i="2"/>
  <c r="L95" i="2"/>
  <c r="K95" i="2"/>
  <c r="Q94" i="2"/>
  <c r="M94" i="2"/>
  <c r="L94" i="2"/>
  <c r="K94" i="2"/>
  <c r="Q93" i="2"/>
  <c r="M93" i="2"/>
  <c r="L93" i="2"/>
  <c r="K93" i="2"/>
  <c r="Q92" i="2"/>
  <c r="M92" i="2"/>
  <c r="L92" i="2"/>
  <c r="K92" i="2"/>
  <c r="Q91" i="2"/>
  <c r="M91" i="2"/>
  <c r="L91" i="2"/>
  <c r="K91" i="2"/>
  <c r="Q90" i="2"/>
  <c r="M90" i="2"/>
  <c r="L90" i="2"/>
  <c r="K90" i="2"/>
  <c r="Q89" i="2"/>
  <c r="M89" i="2"/>
  <c r="L89" i="2"/>
  <c r="K89" i="2"/>
  <c r="Q88" i="2"/>
  <c r="M88" i="2"/>
  <c r="L88" i="2"/>
  <c r="K88" i="2"/>
  <c r="Q87" i="2"/>
  <c r="M87" i="2"/>
  <c r="L87" i="2"/>
  <c r="K87" i="2"/>
  <c r="Q86" i="2"/>
  <c r="M86" i="2"/>
  <c r="L86" i="2"/>
  <c r="K86" i="2"/>
  <c r="Q85" i="2"/>
  <c r="M85" i="2"/>
  <c r="L85" i="2"/>
  <c r="K85" i="2"/>
  <c r="Q84" i="2"/>
  <c r="M84" i="2"/>
  <c r="L84" i="2"/>
  <c r="K84" i="2"/>
  <c r="Q83" i="2"/>
  <c r="M83" i="2"/>
  <c r="L83" i="2"/>
  <c r="K83" i="2"/>
  <c r="Q82" i="2"/>
  <c r="M82" i="2"/>
  <c r="L82" i="2"/>
  <c r="K82" i="2"/>
  <c r="Q81" i="2"/>
  <c r="M81" i="2"/>
  <c r="L81" i="2"/>
  <c r="K81" i="2"/>
  <c r="Q80" i="2"/>
  <c r="M80" i="2"/>
  <c r="L80" i="2"/>
  <c r="K80" i="2"/>
  <c r="Q79" i="2"/>
  <c r="M79" i="2"/>
  <c r="L79" i="2"/>
  <c r="K79" i="2"/>
  <c r="Q78" i="2"/>
  <c r="M78" i="2"/>
  <c r="L78" i="2"/>
  <c r="K78" i="2"/>
  <c r="Q77" i="2"/>
  <c r="M77" i="2"/>
  <c r="L77" i="2"/>
  <c r="K77" i="2"/>
  <c r="Q76" i="2"/>
  <c r="M76" i="2"/>
  <c r="L76" i="2"/>
  <c r="K76" i="2"/>
  <c r="Q75" i="2"/>
  <c r="M75" i="2"/>
  <c r="L75" i="2"/>
  <c r="K75" i="2"/>
  <c r="Q74" i="2"/>
  <c r="M74" i="2"/>
  <c r="L74" i="2"/>
  <c r="K74" i="2"/>
  <c r="Q73" i="2"/>
  <c r="M73" i="2"/>
  <c r="L73" i="2"/>
  <c r="K73" i="2"/>
  <c r="Q72" i="2"/>
  <c r="M72" i="2"/>
  <c r="L72" i="2"/>
  <c r="K72" i="2"/>
  <c r="Q71" i="2"/>
  <c r="M71" i="2"/>
  <c r="L71" i="2"/>
  <c r="K71" i="2"/>
  <c r="Q70" i="2"/>
  <c r="M70" i="2"/>
  <c r="L70" i="2"/>
  <c r="K70" i="2"/>
  <c r="Q69" i="2"/>
  <c r="M69" i="2"/>
  <c r="L69" i="2"/>
  <c r="K69" i="2"/>
  <c r="Q68" i="2"/>
  <c r="M68" i="2"/>
  <c r="L68" i="2"/>
  <c r="K68" i="2"/>
  <c r="Q67" i="2"/>
  <c r="M67" i="2"/>
  <c r="L67" i="2"/>
  <c r="K67" i="2"/>
  <c r="Q66" i="2"/>
  <c r="M66" i="2"/>
  <c r="L66" i="2"/>
  <c r="K66" i="2"/>
  <c r="Q65" i="2"/>
  <c r="M65" i="2"/>
  <c r="L65" i="2"/>
  <c r="K65" i="2"/>
  <c r="Q64" i="2"/>
  <c r="M64" i="2"/>
  <c r="L64" i="2"/>
  <c r="K64" i="2"/>
  <c r="Q63" i="2"/>
  <c r="M63" i="2"/>
  <c r="L63" i="2"/>
  <c r="K63" i="2"/>
  <c r="Q62" i="2"/>
  <c r="M62" i="2"/>
  <c r="L62" i="2"/>
  <c r="K62" i="2"/>
  <c r="Q61" i="2"/>
  <c r="M61" i="2"/>
  <c r="L61" i="2"/>
  <c r="K61" i="2"/>
  <c r="Q60" i="2"/>
  <c r="M60" i="2"/>
  <c r="L60" i="2"/>
  <c r="K60" i="2"/>
  <c r="Q59" i="2"/>
  <c r="M59" i="2"/>
  <c r="L59" i="2"/>
  <c r="K59" i="2"/>
  <c r="Q58" i="2"/>
  <c r="M58" i="2"/>
  <c r="L58" i="2"/>
  <c r="K58" i="2"/>
  <c r="Q57" i="2"/>
  <c r="M57" i="2"/>
  <c r="L57" i="2"/>
  <c r="K57" i="2"/>
  <c r="Q56" i="2"/>
  <c r="M56" i="2"/>
  <c r="L56" i="2"/>
  <c r="K56" i="2"/>
  <c r="Q55" i="2"/>
  <c r="M55" i="2"/>
  <c r="L55" i="2"/>
  <c r="K55" i="2"/>
  <c r="Q54" i="2"/>
  <c r="M54" i="2"/>
  <c r="L54" i="2"/>
  <c r="K54" i="2"/>
  <c r="Q53" i="2"/>
  <c r="M53" i="2"/>
  <c r="L53" i="2"/>
  <c r="K53" i="2"/>
  <c r="Q52" i="2"/>
  <c r="M52" i="2"/>
  <c r="L52" i="2"/>
  <c r="K52" i="2"/>
  <c r="Q51" i="2"/>
  <c r="M51" i="2"/>
  <c r="L51" i="2"/>
  <c r="K51" i="2"/>
  <c r="Q50" i="2"/>
  <c r="M50" i="2"/>
  <c r="L50" i="2"/>
  <c r="K50" i="2"/>
  <c r="Q49" i="2"/>
  <c r="M49" i="2"/>
  <c r="L49" i="2"/>
  <c r="K49" i="2"/>
  <c r="Q48" i="2"/>
  <c r="M48" i="2"/>
  <c r="L48" i="2"/>
  <c r="K48" i="2"/>
  <c r="Q47" i="2"/>
  <c r="M47" i="2"/>
  <c r="L47" i="2"/>
  <c r="K47" i="2"/>
  <c r="Q46" i="2"/>
  <c r="M46" i="2"/>
  <c r="L46" i="2"/>
  <c r="K46" i="2"/>
  <c r="Q45" i="2"/>
  <c r="M45" i="2"/>
  <c r="L45" i="2"/>
  <c r="K45" i="2"/>
  <c r="Q44" i="2"/>
  <c r="M44" i="2"/>
  <c r="L44" i="2"/>
  <c r="K44" i="2"/>
  <c r="Q43" i="2"/>
  <c r="M43" i="2"/>
  <c r="L43" i="2"/>
  <c r="K43" i="2"/>
  <c r="Q42" i="2"/>
  <c r="M42" i="2"/>
  <c r="L42" i="2"/>
  <c r="K42" i="2"/>
  <c r="Q41" i="2"/>
  <c r="M41" i="2"/>
  <c r="L41" i="2"/>
  <c r="K41" i="2"/>
  <c r="Q40" i="2"/>
  <c r="M40" i="2"/>
  <c r="L40" i="2"/>
  <c r="K40" i="2"/>
  <c r="Q39" i="2"/>
  <c r="M39" i="2"/>
  <c r="L39" i="2"/>
  <c r="K39" i="2"/>
  <c r="Q38" i="2"/>
  <c r="M38" i="2"/>
  <c r="L38" i="2"/>
  <c r="K38" i="2"/>
  <c r="Q37" i="2"/>
  <c r="M37" i="2"/>
  <c r="L37" i="2"/>
  <c r="K37" i="2"/>
  <c r="Q36" i="2"/>
  <c r="M36" i="2"/>
  <c r="L36" i="2"/>
  <c r="K36" i="2"/>
  <c r="Q35" i="2"/>
  <c r="M35" i="2"/>
  <c r="L35" i="2"/>
  <c r="K35" i="2"/>
  <c r="Q34" i="2"/>
  <c r="M34" i="2"/>
  <c r="L34" i="2"/>
  <c r="K34" i="2"/>
  <c r="Q33" i="2"/>
  <c r="M33" i="2"/>
  <c r="L33" i="2"/>
  <c r="K33" i="2"/>
  <c r="Q32" i="2"/>
  <c r="M32" i="2"/>
  <c r="L32" i="2"/>
  <c r="K32" i="2"/>
  <c r="Q31" i="2"/>
  <c r="M31" i="2"/>
  <c r="L31" i="2"/>
  <c r="K31" i="2"/>
  <c r="Q30" i="2"/>
  <c r="M30" i="2"/>
  <c r="L30" i="2"/>
  <c r="K30" i="2"/>
  <c r="Q29" i="2"/>
  <c r="M29" i="2"/>
  <c r="L29" i="2"/>
  <c r="K29" i="2"/>
  <c r="Q28" i="2"/>
  <c r="M28" i="2"/>
  <c r="L28" i="2"/>
  <c r="K28" i="2"/>
  <c r="Q27" i="2"/>
  <c r="M27" i="2"/>
  <c r="L27" i="2"/>
  <c r="K27" i="2"/>
  <c r="Q26" i="2"/>
  <c r="M26" i="2"/>
  <c r="L26" i="2"/>
  <c r="K26" i="2"/>
  <c r="Q25" i="2"/>
  <c r="M25" i="2"/>
  <c r="L25" i="2"/>
  <c r="K25" i="2"/>
  <c r="Q24" i="2"/>
  <c r="M24" i="2"/>
  <c r="L24" i="2"/>
  <c r="K24" i="2"/>
  <c r="Q23" i="2"/>
  <c r="M23" i="2"/>
  <c r="L23" i="2"/>
  <c r="K23" i="2"/>
  <c r="Q22" i="2"/>
  <c r="M22" i="2"/>
  <c r="L22" i="2"/>
  <c r="K22" i="2"/>
  <c r="Q21" i="2"/>
  <c r="M21" i="2"/>
  <c r="L21" i="2"/>
  <c r="K21" i="2"/>
  <c r="Q20" i="2"/>
  <c r="M20" i="2"/>
  <c r="L20" i="2"/>
  <c r="K20" i="2"/>
  <c r="Q19" i="2"/>
  <c r="M19" i="2"/>
  <c r="L19" i="2"/>
  <c r="K19" i="2"/>
  <c r="Q18" i="2"/>
  <c r="M18" i="2"/>
  <c r="L18" i="2"/>
  <c r="K18" i="2"/>
  <c r="Q17" i="2"/>
  <c r="M17" i="2"/>
  <c r="L17" i="2"/>
  <c r="K17" i="2"/>
  <c r="Q16" i="2"/>
  <c r="L16" i="2"/>
  <c r="M16" i="2" s="1"/>
  <c r="K16" i="2"/>
  <c r="Q15" i="2"/>
  <c r="L15" i="2"/>
  <c r="M15" i="2" s="1"/>
  <c r="K15" i="2"/>
  <c r="Q14" i="2"/>
  <c r="L14" i="2"/>
  <c r="M14" i="2" s="1"/>
  <c r="K14" i="2"/>
  <c r="Q13" i="2"/>
  <c r="L13" i="2"/>
  <c r="M13" i="2" s="1"/>
  <c r="K13" i="2"/>
  <c r="Q12" i="2"/>
  <c r="L12" i="2"/>
  <c r="M12" i="2" s="1"/>
  <c r="K12" i="2"/>
  <c r="Q11" i="2"/>
  <c r="L11" i="2"/>
  <c r="M11" i="2" s="1"/>
  <c r="K11" i="2"/>
  <c r="Q10" i="2"/>
  <c r="L10" i="2"/>
  <c r="M10" i="2" s="1"/>
  <c r="K10" i="2"/>
  <c r="Q9" i="2"/>
  <c r="L9" i="2"/>
  <c r="M9" i="2" s="1"/>
  <c r="K9" i="2"/>
  <c r="Q8" i="2"/>
  <c r="L8" i="2"/>
  <c r="M8" i="2" s="1"/>
  <c r="K8" i="2"/>
  <c r="Q7" i="2"/>
  <c r="L7" i="2"/>
  <c r="M7" i="2" s="1"/>
  <c r="K7" i="2"/>
  <c r="Q6" i="2"/>
  <c r="L6" i="2"/>
  <c r="M6" i="2" s="1"/>
  <c r="K6" i="2"/>
  <c r="Q5" i="2"/>
  <c r="L5" i="2"/>
  <c r="M5" i="2" s="1"/>
  <c r="K5" i="2"/>
  <c r="B33" i="1"/>
  <c r="N33" i="1" s="1"/>
  <c r="B32" i="1"/>
  <c r="N32" i="1" s="1"/>
  <c r="B31" i="1"/>
  <c r="H31" i="1" s="1"/>
  <c r="B30" i="1"/>
  <c r="N30" i="1" s="1"/>
  <c r="B29" i="1"/>
  <c r="L29" i="1" s="1"/>
  <c r="B28" i="1"/>
  <c r="D28" i="1" s="1"/>
  <c r="B27" i="1"/>
  <c r="L27" i="1" s="1"/>
  <c r="B26" i="1"/>
  <c r="F26" i="1" s="1"/>
  <c r="B25" i="1"/>
  <c r="L25" i="1" s="1"/>
  <c r="B24" i="1"/>
  <c r="J24" i="1" s="1"/>
  <c r="N17" i="1"/>
  <c r="N18" i="1" s="1"/>
  <c r="L17" i="1"/>
  <c r="L18" i="1" s="1"/>
  <c r="J17" i="1"/>
  <c r="J18" i="1" s="1"/>
  <c r="H17" i="1"/>
  <c r="H18" i="1" s="1"/>
  <c r="F17" i="1"/>
  <c r="F18" i="1" s="1"/>
  <c r="D17" i="1"/>
  <c r="D18" i="1" s="1"/>
  <c r="B17" i="1"/>
  <c r="B18" i="1" s="1"/>
  <c r="N16" i="1"/>
  <c r="L16" i="1"/>
  <c r="J16" i="1"/>
  <c r="H16" i="1"/>
  <c r="F16" i="1"/>
  <c r="D16" i="1"/>
  <c r="B16" i="1"/>
  <c r="N11" i="1"/>
  <c r="B11" i="1"/>
  <c r="L10" i="1"/>
  <c r="J10" i="1"/>
  <c r="H10" i="1"/>
  <c r="F10" i="1"/>
  <c r="D10" i="1"/>
  <c r="B10" i="1"/>
  <c r="N3" i="1"/>
  <c r="L11" i="1" l="1"/>
  <c r="B49" i="1"/>
  <c r="N24" i="1"/>
  <c r="E43" i="1"/>
  <c r="D33" i="1"/>
  <c r="J11" i="1"/>
  <c r="F28" i="1"/>
  <c r="H33" i="1"/>
  <c r="H28" i="1"/>
  <c r="J33" i="1"/>
  <c r="J28" i="1"/>
  <c r="L33" i="1"/>
  <c r="F33" i="1"/>
  <c r="L28" i="1"/>
  <c r="N28" i="1"/>
  <c r="C43" i="1"/>
  <c r="G43" i="1"/>
  <c r="N10" i="1"/>
  <c r="L26" i="1"/>
  <c r="G45" i="1"/>
  <c r="E45" i="1"/>
  <c r="J31" i="1"/>
  <c r="E39" i="1"/>
  <c r="I45" i="1"/>
  <c r="I39" i="1"/>
  <c r="L31" i="1"/>
  <c r="G39" i="1"/>
  <c r="C47" i="1"/>
  <c r="N26" i="1"/>
  <c r="C39" i="1"/>
  <c r="D11" i="1"/>
  <c r="N31" i="1"/>
  <c r="C41" i="1"/>
  <c r="E47" i="1"/>
  <c r="H26" i="1"/>
  <c r="I43" i="1"/>
  <c r="J26" i="1"/>
  <c r="N29" i="1"/>
  <c r="C45" i="1"/>
  <c r="F11" i="1"/>
  <c r="I41" i="1"/>
  <c r="E41" i="1"/>
  <c r="G47" i="1"/>
  <c r="H11" i="1"/>
  <c r="L24" i="1"/>
  <c r="G41" i="1"/>
  <c r="I47" i="1"/>
  <c r="F30" i="1"/>
  <c r="K41" i="1"/>
  <c r="K47" i="1"/>
  <c r="H25" i="1"/>
  <c r="D27" i="1"/>
  <c r="B46" i="1"/>
  <c r="D30" i="1"/>
  <c r="D25" i="1"/>
  <c r="H30" i="1"/>
  <c r="D32" i="1"/>
  <c r="K43" i="1"/>
  <c r="J30" i="1"/>
  <c r="F32" i="1"/>
  <c r="B40" i="1"/>
  <c r="B42" i="1"/>
  <c r="B44" i="1"/>
  <c r="B48" i="1"/>
  <c r="H27" i="1"/>
  <c r="D29" i="1"/>
  <c r="J32" i="1"/>
  <c r="E42" i="1"/>
  <c r="E44" i="1"/>
  <c r="E48" i="1"/>
  <c r="N25" i="1"/>
  <c r="L32" i="1"/>
  <c r="G48" i="1"/>
  <c r="K39" i="1"/>
  <c r="H32" i="1"/>
  <c r="C40" i="1"/>
  <c r="C44" i="1"/>
  <c r="C48" i="1"/>
  <c r="D24" i="1"/>
  <c r="J27" i="1"/>
  <c r="F29" i="1"/>
  <c r="G42" i="1"/>
  <c r="G44" i="1"/>
  <c r="I40" i="1"/>
  <c r="H24" i="1"/>
  <c r="D26" i="1"/>
  <c r="N27" i="1"/>
  <c r="J29" i="1"/>
  <c r="F31" i="1"/>
  <c r="K40" i="1"/>
  <c r="K42" i="1"/>
  <c r="K44" i="1"/>
  <c r="K46" i="1"/>
  <c r="K48" i="1"/>
  <c r="F25" i="1"/>
  <c r="K45" i="1"/>
  <c r="N19" i="1"/>
  <c r="J25" i="1"/>
  <c r="F27" i="1"/>
  <c r="L30" i="1"/>
  <c r="C42" i="1"/>
  <c r="C46" i="1"/>
  <c r="E40" i="1"/>
  <c r="E46" i="1"/>
  <c r="G40" i="1"/>
  <c r="G46" i="1"/>
  <c r="F24" i="1"/>
  <c r="H29" i="1"/>
  <c r="D31" i="1"/>
  <c r="I42" i="1"/>
  <c r="I44" i="1"/>
  <c r="I46" i="1"/>
  <c r="I48" i="1"/>
  <c r="B39" i="1"/>
  <c r="B41" i="1"/>
  <c r="B43" i="1"/>
  <c r="B45" i="1"/>
  <c r="B47" i="1"/>
  <c r="L34" i="1" l="1"/>
  <c r="N34" i="1"/>
  <c r="J34" i="1"/>
  <c r="H34" i="1"/>
  <c r="F34" i="1"/>
  <c r="D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100-000001000000}">
      <text>
        <r>
          <rPr>
            <sz val="10"/>
            <rFont val="Arial"/>
            <family val="2"/>
          </rPr>
          <t>Grafia corrigida (original: UNITAPAJOS).</t>
        </r>
      </text>
    </comment>
    <comment ref="I11" authorId="0" shapeId="0" xr:uid="{00000000-0006-0000-0100-000002000000}">
      <text>
        <r>
          <rPr>
            <sz val="10"/>
            <rFont val="Arial"/>
            <family val="2"/>
          </rPr>
          <t>Registro original: 'Data de mobilização estimada para Junho'. Ano não informado — substituir por data quando confirmada.</t>
        </r>
      </text>
    </comment>
  </commentList>
</comments>
</file>

<file path=xl/sharedStrings.xml><?xml version="1.0" encoding="utf-8"?>
<sst xmlns="http://schemas.openxmlformats.org/spreadsheetml/2006/main" count="699" uniqueCount="288">
  <si>
    <t>GERENCIAMENTO DA COORDENAÇÃO DE PLANEJAMENTO</t>
  </si>
  <si>
    <t>Data de referência</t>
  </si>
  <si>
    <t>Departamento de Instalação  ·  Acompanhamento da carteira de obras</t>
  </si>
  <si>
    <t>Coordenação: Arthur Felipe Furtuoso Araujo</t>
  </si>
  <si>
    <t>1 · INDICADORES DA CARTEIRA</t>
  </si>
  <si>
    <t>Calculados automaticamente a partir da aba Carteira</t>
  </si>
  <si>
    <t>Obras na carteira</t>
  </si>
  <si>
    <t>No prazo</t>
  </si>
  <si>
    <t>Atenção</t>
  </si>
  <si>
    <t>Bloqueado</t>
  </si>
  <si>
    <t>Cronogramas validados</t>
  </si>
  <si>
    <t>Com reunião recorrente</t>
  </si>
  <si>
    <t>Sem interação</t>
  </si>
  <si>
    <t>2 · FLUXO DO CRONOGRAMA — EM QUE ETAPA ESTÁ CADA OBRA</t>
  </si>
  <si>
    <t>Da elaboração à atualização periódica · as etapas e seus nomes vêm da aba Listas (coluna 'Situação do cronograma')</t>
  </si>
  <si>
    <t>ETAPA 1</t>
  </si>
  <si>
    <t>→</t>
  </si>
  <si>
    <t>ETAPA 2</t>
  </si>
  <si>
    <t>ETAPA 3</t>
  </si>
  <si>
    <t>ETAPA 4</t>
  </si>
  <si>
    <t>ETAPA 5</t>
  </si>
  <si>
    <t>ETAPA 6</t>
  </si>
  <si>
    <t>┆</t>
  </si>
  <si>
    <t>SEM INFORMAÇÃO</t>
  </si>
  <si>
    <t>↺  Após a entrega, o cronograma entra no ciclo de atualização periódica e retorna à validação a cada revisão relevante.</t>
  </si>
  <si>
    <t>3 · DISTRIBUIÇÃO POR PM</t>
  </si>
  <si>
    <t>Novos PMs cadastrados na aba Listas aparecem aqui automaticamente (até 10)</t>
  </si>
  <si>
    <t>PM</t>
  </si>
  <si>
    <t>Obras</t>
  </si>
  <si>
    <t>Aguardando validação</t>
  </si>
  <si>
    <t>Validados</t>
  </si>
  <si>
    <t>TOTAL</t>
  </si>
  <si>
    <t>4 · PONTOS DE ATENÇÃO PARA A REUNIÃO</t>
  </si>
  <si>
    <t>Obras com status 'Bloqueado' (primeiro) e 'Atenção' · lista atualizada automaticamente (até 10)</t>
  </si>
  <si>
    <t>Nº da obra</t>
  </si>
  <si>
    <t>Cliente</t>
  </si>
  <si>
    <t>Status</t>
  </si>
  <si>
    <t>Dias sem interação</t>
  </si>
  <si>
    <t>Pendência / bloqueio</t>
  </si>
  <si>
    <t>LEGENDA DE STATUS</t>
  </si>
  <si>
    <t>Cronograma validado, entregue ou em atualização regular, sem pendência fora do controle do planejamento.</t>
  </si>
  <si>
    <t>Cronograma sem validação com mobilização definida, ou solicitação ao PM sem retorno.</t>
  </si>
  <si>
    <t>O avanço depende de decisão contratual ou do cliente.</t>
  </si>
  <si>
    <t>Não avaliado</t>
  </si>
  <si>
    <t>Informação insuficiente para classificar a obra.</t>
  </si>
  <si>
    <t>CARTEIRA DE OBRAS  ·  PLANEJAMENTO  ·  DEPARTAMENTO DE INSTALAÇÃO</t>
  </si>
  <si>
    <t>IDENTIFICAÇÃO</t>
  </si>
  <si>
    <t>PLANEJAMENTO</t>
  </si>
  <si>
    <t>MOBILIZAÇÃO</t>
  </si>
  <si>
    <t>ACOMPANHAMENTO</t>
  </si>
  <si>
    <t>REGISTRO</t>
  </si>
  <si>
    <t>Origem da demanda</t>
  </si>
  <si>
    <t>Fase</t>
  </si>
  <si>
    <t>Situação do cronograma</t>
  </si>
  <si>
    <t>Cadência de reunião</t>
  </si>
  <si>
    <t>Agenda da reunião</t>
  </si>
  <si>
    <t>Mobilização</t>
  </si>
  <si>
    <t>Situação da mobilização</t>
  </si>
  <si>
    <t>Dias até a mobilização</t>
  </si>
  <si>
    <t>Última interação</t>
  </si>
  <si>
    <t>Resumo executivo</t>
  </si>
  <si>
    <t>aux_painel</t>
  </si>
  <si>
    <t>MOHAWK</t>
  </si>
  <si>
    <t>PAULO NETTO</t>
  </si>
  <si>
    <t>Distribuição do coordenador</t>
  </si>
  <si>
    <t>Projetos</t>
  </si>
  <si>
    <t>Validado pelo PM</t>
  </si>
  <si>
    <t>Não informada</t>
  </si>
  <si>
    <t>Definida</t>
  </si>
  <si>
    <t>—</t>
  </si>
  <si>
    <t>Mobilização definida para 11/01/2027. Cronograma validado pelo PM. Obra em fase de projetos.</t>
  </si>
  <si>
    <t>EBRASIL</t>
  </si>
  <si>
    <t>MATHEUS</t>
  </si>
  <si>
    <t>Em ajuste com o PM</t>
  </si>
  <si>
    <t>Validação do cronograma pelo PM (último envio em 02/10/2026).</t>
  </si>
  <si>
    <t>Mobilização definida para 11/01/2027. Cronograma ainda não validado; ajustes contínuos em conjunto com o PM. Último envio para validação em 02/10/2026.</t>
  </si>
  <si>
    <t>BIMBO</t>
  </si>
  <si>
    <t>JEOVANNA</t>
  </si>
  <si>
    <t>Semanal</t>
  </si>
  <si>
    <t>Segundas, 08:00</t>
  </si>
  <si>
    <t>Reunião recorrente definida: toda segunda-feira, às 08:00. Obra em fase de projetos, dentro do prazo.</t>
  </si>
  <si>
    <t>UNIMETAL</t>
  </si>
  <si>
    <t>Estruturado – aguardando validação</t>
  </si>
  <si>
    <t>Retorno da PM sobre a validação do cronograma (reenviado em 24/09/2026).</t>
  </si>
  <si>
    <t>Cronograma estruturado. No primeiro contato, a PM informou que ainda não poderia validá-lo, por não ter os prazos bem definidos. Em 24/09/2026, nova solicitação de validação, aceita pela PM; cronograma reenviado, sem retorno.</t>
  </si>
  <si>
    <t>MRN</t>
  </si>
  <si>
    <t>ERIKA</t>
  </si>
  <si>
    <t>Em atualização periódica</t>
  </si>
  <si>
    <t>Sem recorrência definida</t>
  </si>
  <si>
    <t>UNITAPAJÓS</t>
  </si>
  <si>
    <t>Pré-contrato</t>
  </si>
  <si>
    <t>Junho</t>
  </si>
  <si>
    <t>Estimada</t>
  </si>
  <si>
    <t>Assinatura do contrato, pendente de decisão do cliente: casa de comando em alvenaria ou eletrocentro. Validação do cronograma pelo PM.</t>
  </si>
  <si>
    <t>Mobilização estimada para junho. Cronograma estruturado, ainda não validado pelo PM. Contrato não assinado: pendente decisão do cliente sobre a substituição da casa de comando em alvenaria por eletrocentro.</t>
  </si>
  <si>
    <t>SENAI</t>
  </si>
  <si>
    <t>LAERÇO</t>
  </si>
  <si>
    <t>Validado e entregue</t>
  </si>
  <si>
    <t>Cronograma atualizado, validado pelo PM e entregue em 18/09/2026. Não há reunião recorrente definida.</t>
  </si>
  <si>
    <t>GAV</t>
  </si>
  <si>
    <t>Reuniões sem recorrência definida; duas atualizações realizadas. Obra em fase de projetos, dentro do prazo. Última atualização em 23/09/2026.</t>
  </si>
  <si>
    <t>IPP NAVEGANTES</t>
  </si>
  <si>
    <t>Cronograma atualizado, validado pelo PM e entregue em 23/09/2026. Não há reunião recorrente definida.</t>
  </si>
  <si>
    <t>CROWN</t>
  </si>
  <si>
    <t>LAURA</t>
  </si>
  <si>
    <t>Solicitação direta do PM</t>
  </si>
  <si>
    <t>Cronograma não atribuído a mim pelo coordenador; a elaboração foi um pedido da Laura. Escopo: 1 painel e 1 invólucro. Não se sabe se haverá atualizações.</t>
  </si>
  <si>
    <t>HISTÓRICO DE EVENTOS  ·  registro cronológico de tudo o que acontece em cada obra</t>
  </si>
  <si>
    <t>Lance cada novo evento na primeira linha vazia · A coluna 'Cliente' é preenchida automaticamente · A data mais recente de cada obra alimenta a coluna 'Última interação' da Carteira</t>
  </si>
  <si>
    <t>Eventos sem data no registro original foram mantidos com a data em branco (não contam para 'Última interação').</t>
  </si>
  <si>
    <t>Data do evento</t>
  </si>
  <si>
    <t>Tipo de evento</t>
  </si>
  <si>
    <t>Descrição</t>
  </si>
  <si>
    <t>Registrado por</t>
  </si>
  <si>
    <t>Definição de mobilização</t>
  </si>
  <si>
    <t>Mobilização definida para 11/01/2027.</t>
  </si>
  <si>
    <t>OSVALDO</t>
  </si>
  <si>
    <t>Validação do PM</t>
  </si>
  <si>
    <t>Cronograma validado pelo PM.</t>
  </si>
  <si>
    <t>Linha de base</t>
  </si>
  <si>
    <t>Obra em fase de projetos.</t>
  </si>
  <si>
    <t>Envio para validação</t>
  </si>
  <si>
    <t>Cronograma enviado ao PM para validação, após ajustes contínuos em conjunto.</t>
  </si>
  <si>
    <t>Reunião</t>
  </si>
  <si>
    <t>Reunião recorrente definida: toda segunda-feira, às 08:00.</t>
  </si>
  <si>
    <t>Obra em fase de projetos, dentro do prazo.</t>
  </si>
  <si>
    <t>Retorno do PM</t>
  </si>
  <si>
    <t>Primeiro contato: a PM informou que ainda não poderia validar o cronograma, por não ter os prazos bem definidos.</t>
  </si>
  <si>
    <t>Nova solicitação de validação, aceita pela PM. Cronograma reenviado; sem retorno.</t>
  </si>
  <si>
    <t>Atualização de cronograma</t>
  </si>
  <si>
    <t>Terceira atualização do cronograma. Obra em fase de projetos, dentro do prazo.</t>
  </si>
  <si>
    <t>Mobilização estimada para junho.</t>
  </si>
  <si>
    <t>Cronograma estruturado, ainda não validado pelo PM.</t>
  </si>
  <si>
    <t>Contrato não assinado: pendente decisão do cliente sobre a substituição da casa de comando em alvenaria por eletrocentro.</t>
  </si>
  <si>
    <t>Entrega de cronograma</t>
  </si>
  <si>
    <t>Cronograma atualizado e validado pelo PM entregue.</t>
  </si>
  <si>
    <t>Segunda atualização do cronograma. Obra em fase de projetos, dentro do prazo.</t>
  </si>
  <si>
    <t>Solicitação de demanda</t>
  </si>
  <si>
    <t>Cronograma não atribuído a mim pelo coordenador; a elaboração foi um pedido da Laura. Escopo: 1 painel e 1 invólucro.</t>
  </si>
  <si>
    <t>CADASTROS — valores das listas suspensas (inclua novos valores na primeira célula vazia da coluna, sem deixar linhas em branco)</t>
  </si>
  <si>
    <t>Parâmetros de alerta</t>
  </si>
  <si>
    <t>Valor</t>
  </si>
  <si>
    <t>Em elaboração</t>
  </si>
  <si>
    <t>Dias sem interação — alerta (amarelo)</t>
  </si>
  <si>
    <t>Quinzenal</t>
  </si>
  <si>
    <t>Dias sem interação — crítico (vermelho)</t>
  </si>
  <si>
    <t>Fabricação</t>
  </si>
  <si>
    <t>Mensal</t>
  </si>
  <si>
    <t>Dias até a mobilização — alerta (amarelo)</t>
  </si>
  <si>
    <t>Dias até a mobilização — crítico (vermelho)</t>
  </si>
  <si>
    <t>Execução em campo</t>
  </si>
  <si>
    <t>Comissionamento</t>
  </si>
  <si>
    <t>(valores fixos: usados nos indicadores)</t>
  </si>
  <si>
    <t>Altere os valores em amarelo para recalibrar os alertas do Painel e da Carteira.</t>
  </si>
  <si>
    <t>Encerrada</t>
  </si>
  <si>
    <t>Outro</t>
  </si>
  <si>
    <t>GUIA DE USO  ·  como manter e expandir esta planilha</t>
  </si>
  <si>
    <t>Objetivo</t>
  </si>
  <si>
    <t>Para que serve</t>
  </si>
  <si>
    <t>Acompanhar a rotina de planejamento do Departamento de Instalação: em que etapa está o cronograma de cada obra, como está o ciclo de validação com os PMs, quais obras exigem ação e qual a data da última interação registrada.</t>
  </si>
  <si>
    <t>Estrutura da planilha</t>
  </si>
  <si>
    <t>Painel</t>
  </si>
  <si>
    <t>Visão gerencial para a reunião com a coordenação. 100% automática: não digite nada nesta aba.</t>
  </si>
  <si>
    <t>Carteira</t>
  </si>
  <si>
    <t>Estado atual de cada obra (uma linha por obra). É aqui que se atualizam fase, situação do cronograma, status, pendência e resumo.</t>
  </si>
  <si>
    <t>Histórico</t>
  </si>
  <si>
    <t>Registro cronológico de eventos (envios, validações, reuniões, entregas, pendências). Só se acrescentam linhas; nada é apagado.</t>
  </si>
  <si>
    <t>Listas</t>
  </si>
  <si>
    <t>Cadastro dos valores das listas suspensas (fases, situações, PMs, tipos de evento) e parâmetros dos alertas.</t>
  </si>
  <si>
    <t>Guia</t>
  </si>
  <si>
    <t>Este manual.</t>
  </si>
  <si>
    <t>Rotina semanal de atualização</t>
  </si>
  <si>
    <t>1. Registrar eventos</t>
  </si>
  <si>
    <t>Na aba Histórico, lance cada acontecimento da semana na primeira linha vazia: data, nº da obra (lista), tipo de evento (lista) e descrição curta.</t>
  </si>
  <si>
    <t>2. Atualizar a Carteira</t>
  </si>
  <si>
    <t>Para cada obra que teve evento, revise as colunas Fase, Situação do cronograma, Cadência de reunião, Mobilização e Status.</t>
  </si>
  <si>
    <t>3. Revisar o registro</t>
  </si>
  <si>
    <t>Atualize 'Pendência / bloqueio' (o que falta e de quem depende) e 'Resumo executivo' (situação atual em até três frases).</t>
  </si>
  <si>
    <t>4. Conferir o Painel</t>
  </si>
  <si>
    <t>Antes da reunião, confira os indicadores, o fluxo por etapa e a seção 'Pontos de atenção'.</t>
  </si>
  <si>
    <t>Como expandir</t>
  </si>
  <si>
    <t>Nova obra</t>
  </si>
  <si>
    <t>Preencha a primeira linha vazia da Carteira. As colunas cinza (dias até a mobilização, última interação, dias sem interação) já contêm as fórmulas até a linha 204. O nº da obra não pode se repetir.</t>
  </si>
  <si>
    <t>Novo PM, fase, situação ou tipo de evento</t>
  </si>
  <si>
    <t>Na aba Listas, digite o novo valor na primeira célula vazia da coluna correspondente, sem deixar linhas em branco. Ele passa a aparecer na lista suspensa e, no caso de PM, na tabela do Painel.</t>
  </si>
  <si>
    <t>Nova etapa do fluxo</t>
  </si>
  <si>
    <t>As seis etapas do Painel leem as células B3 a B8 da aba Listas; 'Não informada' fica em B9. Para renomear uma etapa, altere o texto na aba Listas: o Painel e as contagens se ajustam. Para criar uma sétima etapa, insira-a na lista e acrescente um bloco no Painel.</t>
  </si>
  <si>
    <t>Recalibrar alertas</t>
  </si>
  <si>
    <t>Na aba Listas, altere os parâmetros em amarelo: dias sem interação (alerta e crítico) e dias até a mobilização (alerta e crítico).</t>
  </si>
  <si>
    <t>Valores fixos</t>
  </si>
  <si>
    <t>Os quatro status (No prazo, Atenção, Bloqueado, Não avaliado) alimentam as fórmulas dos indicadores. Não os renomeie.</t>
  </si>
  <si>
    <t>Critérios de status</t>
  </si>
  <si>
    <t>Dicionário de campos — aba Carteira</t>
  </si>
  <si>
    <t>Número da obra no sistema da Volga. Único por linha.</t>
  </si>
  <si>
    <t>Nome do cliente, em maiúsculas.</t>
  </si>
  <si>
    <t>Gerente do projeto responsável pela validação do cronograma (lista; aceita nome novo com aviso).</t>
  </si>
  <si>
    <t>Se a obra veio da distribuição do coordenador ou de solicitação direta do PM.</t>
  </si>
  <si>
    <t>Fase atual da obra. Use 'Não informada' quando o dado ainda não for conhecido.</t>
  </si>
  <si>
    <t>Etapa do cronograma no fluxo de planejamento (alimenta o fluxo do Painel).</t>
  </si>
  <si>
    <t>Periodicidade das reuniões de acompanhamento com o PM.</t>
  </si>
  <si>
    <t>Dia e horário da reunião recorrente, quando houver.</t>
  </si>
  <si>
    <t>Data de mobilização (dd/mm/aaaa). Se só houver estimativa sem data, escreva o texto (ex.: 'Junho').</t>
  </si>
  <si>
    <t>Definida, Estimada ou Não informada.</t>
  </si>
  <si>
    <t>Automático. Fica amarelo/vermelho conforme os parâmetros.</t>
  </si>
  <si>
    <t>Automático: data mais recente lançada no Histórico para a obra.</t>
  </si>
  <si>
    <t>Classificação de risco (ver critérios acima).</t>
  </si>
  <si>
    <t>O que impede o avanço e de quem depende. Use '—' quando não houver.</t>
  </si>
  <si>
    <t>Situação atual em frases curtas, começando pelo fato e com datas no formato dd/mm/aaaa.</t>
  </si>
  <si>
    <t>Convenções de redação</t>
  </si>
  <si>
    <t>Frases curtas</t>
  </si>
  <si>
    <t>Uma informação por frase; comece pelo fato (ex.: 'Cronograma validado pelo PM.').</t>
  </si>
  <si>
    <t>Datas</t>
  </si>
  <si>
    <t>Sempre dd/mm/aaaa. Prazos relativos ('semana que vem') devem ser convertidos em data.</t>
  </si>
  <si>
    <t>Pendências</t>
  </si>
  <si>
    <t>Indique o que falta, de quem depende e desde quando (ex.: 'Retorno da PM — reenviado em 24/09/2026').</t>
  </si>
  <si>
    <t>ID</t>
  </si>
  <si>
    <t>Pacote</t>
  </si>
  <si>
    <t>Atividade que recebe peso</t>
  </si>
  <si>
    <t>Duração</t>
  </si>
  <si>
    <t>Pontos</t>
  </si>
  <si>
    <t>QGBT-02-BM</t>
  </si>
  <si>
    <t>Elaboração de projeto</t>
  </si>
  <si>
    <t>3,0 d</t>
  </si>
  <si>
    <t>Análise e comentários ORIZON</t>
  </si>
  <si>
    <t>1,0 d</t>
  </si>
  <si>
    <t>Reemissão de projetos</t>
  </si>
  <si>
    <t>2,0 d</t>
  </si>
  <si>
    <t>Metalúrgica</t>
  </si>
  <si>
    <t>7,0 d</t>
  </si>
  <si>
    <t>Montagem</t>
  </si>
  <si>
    <t>4,0 d</t>
  </si>
  <si>
    <t>TAF e testes internos</t>
  </si>
  <si>
    <t>Embalagem</t>
  </si>
  <si>
    <t>0,5 d</t>
  </si>
  <si>
    <t>Expedição</t>
  </si>
  <si>
    <t>Transporte</t>
  </si>
  <si>
    <t>Subtotal QGBT-02-BM</t>
  </si>
  <si>
    <t>23 d</t>
  </si>
  <si>
    <t>QUPS-01-BM</t>
  </si>
  <si>
    <t>6,0 d</t>
  </si>
  <si>
    <t>TAF</t>
  </si>
  <si>
    <t>Subtotal QUPS-01-BM</t>
  </si>
  <si>
    <t>QGBT-04-BM</t>
  </si>
  <si>
    <t>Subtotal QGBT-04-BM</t>
  </si>
  <si>
    <t>QGBT-01-BM</t>
  </si>
  <si>
    <t>Subtotal QGBT-01-BM</t>
  </si>
  <si>
    <t>24 d</t>
  </si>
  <si>
    <t>PMT 13,8 kV</t>
  </si>
  <si>
    <t>Emissão de projeto para análise</t>
  </si>
  <si>
    <t>Subtotal PMT</t>
  </si>
  <si>
    <t>25 d</t>
  </si>
  <si>
    <t>Busway</t>
  </si>
  <si>
    <t>Subtotal Busway</t>
  </si>
  <si>
    <t>TF-02-BM</t>
  </si>
  <si>
    <t>Emissão do pedido de compra</t>
  </si>
  <si>
    <t>1 d</t>
  </si>
  <si>
    <t>Prazo para fabricação e transporte</t>
  </si>
  <si>
    <t>50 d</t>
  </si>
  <si>
    <t>Chegada na ORIZON</t>
  </si>
  <si>
    <t>Subtotal TF-02-BM</t>
  </si>
  <si>
    <t>52 d</t>
  </si>
  <si>
    <t>TF-03-BM</t>
  </si>
  <si>
    <t>Subtotal TF-03-BM</t>
  </si>
  <si>
    <t>UPS-01-BM</t>
  </si>
  <si>
    <t>Subtotal UPS-01-BM</t>
  </si>
  <si>
    <t>Transformador de força</t>
  </si>
  <si>
    <t>Emissão do pedido de compra ORIZON</t>
  </si>
  <si>
    <t>30 d</t>
  </si>
  <si>
    <r>
      <t>2,12</t>
    </r>
    <r>
      <rPr>
        <sz val="11"/>
        <color theme="1"/>
        <rFont val="Calibri"/>
        <family val="2"/>
        <charset val="1"/>
      </rPr>
      <t>*</t>
    </r>
  </si>
  <si>
    <t>Subtotal Transformador de força</t>
  </si>
  <si>
    <t>32 d</t>
  </si>
  <si>
    <t>TOTAL FABRICAÇÃO/FORNECIMENTO</t>
  </si>
  <si>
    <t>329 d</t>
  </si>
  <si>
    <t>Atividade</t>
  </si>
  <si>
    <t>2 d</t>
  </si>
  <si>
    <t>Infraestrutura/Elétrica</t>
  </si>
  <si>
    <t>Montagem de infraestrutura</t>
  </si>
  <si>
    <t>3 d</t>
  </si>
  <si>
    <t>Lançamento de cabos</t>
  </si>
  <si>
    <t>Confecção de terminais</t>
  </si>
  <si>
    <t>Instalação</t>
  </si>
  <si>
    <t>4 d</t>
  </si>
  <si>
    <t>Busway 3200 A</t>
  </si>
  <si>
    <t>Start-up</t>
  </si>
  <si>
    <r>
      <t>11,14</t>
    </r>
    <r>
      <rPr>
        <sz val="11"/>
        <color theme="1"/>
        <rFont val="Calibri"/>
        <family val="2"/>
        <charset val="1"/>
      </rPr>
      <t>*</t>
    </r>
  </si>
  <si>
    <t>TOTAL SERVIÇOS</t>
  </si>
  <si>
    <t>27 d</t>
  </si>
  <si>
    <t>Reuniões sem recorrência definida; quatro atualizações realizadas. Obra em fase de projetos, dentro do prazo. Última atualização em 05/10/2026.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</si>
</sst>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003437"/>
      <name val="Arial"/>
      <family val="2"/>
    </font>
    <font>
      <b/>
      <sz val="8"/>
      <color rgb="FF5E7E80"/>
      <name val="Arial"/>
      <family val="2"/>
    </font>
    <font>
      <sz val="10"/>
      <color rgb="FF5E7E80"/>
      <name val="Arial"/>
      <family val="2"/>
    </font>
    <font>
      <b/>
      <sz val="13"/>
      <color rgb="FF003437"/>
      <name val="Arial"/>
      <family val="2"/>
    </font>
    <font>
      <i/>
      <sz val="7"/>
      <color rgb="FF5E7E80"/>
      <name val="Arial"/>
      <family val="2"/>
    </font>
    <font>
      <b/>
      <sz val="10"/>
      <color rgb="FF003437"/>
      <name val="Arial"/>
      <family val="2"/>
    </font>
    <font>
      <i/>
      <sz val="8"/>
      <color rgb="FF5E7E80"/>
      <name val="Arial"/>
      <family val="2"/>
    </font>
    <font>
      <b/>
      <sz val="8"/>
      <color rgb="FF003437"/>
      <name val="Arial"/>
      <family val="2"/>
    </font>
    <font>
      <b/>
      <sz val="8"/>
      <color rgb="FF2A451D"/>
      <name val="Arial"/>
      <family val="2"/>
    </font>
    <font>
      <b/>
      <sz val="8"/>
      <color rgb="FF7A5200"/>
      <name val="Arial"/>
      <family val="2"/>
    </font>
    <font>
      <b/>
      <sz val="8"/>
      <color rgb="FF8E1B12"/>
      <name val="Arial"/>
      <family val="2"/>
    </font>
    <font>
      <b/>
      <sz val="8"/>
      <color rgb="FF366625"/>
      <name val="Arial"/>
      <family val="2"/>
    </font>
    <font>
      <b/>
      <sz val="24"/>
      <color rgb="FF003437"/>
      <name val="Arial"/>
      <family val="2"/>
    </font>
    <font>
      <b/>
      <sz val="24"/>
      <color rgb="FF2A451D"/>
      <name val="Arial"/>
      <family val="2"/>
    </font>
    <font>
      <b/>
      <sz val="24"/>
      <color rgb="FF7A5200"/>
      <name val="Arial"/>
      <family val="2"/>
    </font>
    <font>
      <b/>
      <sz val="24"/>
      <color rgb="FF8E1B12"/>
      <name val="Arial"/>
      <family val="2"/>
    </font>
    <font>
      <b/>
      <sz val="24"/>
      <color rgb="FF366625"/>
      <name val="Arial"/>
      <family val="2"/>
    </font>
    <font>
      <sz val="8"/>
      <color rgb="FF5E7E80"/>
      <name val="Arial"/>
      <family val="2"/>
    </font>
    <font>
      <b/>
      <sz val="7"/>
      <color rgb="FF003437"/>
      <name val="Arial"/>
      <family val="2"/>
    </font>
    <font>
      <b/>
      <sz val="16"/>
      <color rgb="FF5E7E80"/>
      <name val="Arial"/>
      <family val="2"/>
    </font>
    <font>
      <b/>
      <sz val="7"/>
      <color rgb="FFFFFFFF"/>
      <name val="Arial"/>
      <family val="2"/>
    </font>
    <font>
      <sz val="14"/>
      <color rgb="FFB0B0B0"/>
      <name val="Arial"/>
      <family val="2"/>
    </font>
    <font>
      <b/>
      <sz val="7"/>
      <color rgb="FF6B6B6B"/>
      <name val="Arial"/>
      <family val="2"/>
    </font>
    <font>
      <b/>
      <sz val="9"/>
      <color rgb="FF003437"/>
      <name val="Arial"/>
      <family val="2"/>
    </font>
    <font>
      <b/>
      <sz val="9"/>
      <color rgb="FFFFFFFF"/>
      <name val="Arial"/>
      <family val="2"/>
    </font>
    <font>
      <b/>
      <sz val="9"/>
      <color rgb="FF6B6B6B"/>
      <name val="Arial"/>
      <family val="2"/>
    </font>
    <font>
      <b/>
      <sz val="22"/>
      <color rgb="FF003437"/>
      <name val="Arial"/>
      <family val="2"/>
    </font>
    <font>
      <b/>
      <sz val="22"/>
      <color rgb="FFFFFFFF"/>
      <name val="Arial"/>
      <family val="2"/>
    </font>
    <font>
      <b/>
      <sz val="22"/>
      <color rgb="FF6B6B6B"/>
      <name val="Arial"/>
      <family val="2"/>
    </font>
    <font>
      <sz val="7"/>
      <color rgb="FF003437"/>
      <name val="Arial"/>
      <family val="2"/>
    </font>
    <font>
      <sz val="7"/>
      <color rgb="FFFFFFFF"/>
      <name val="Arial"/>
      <family val="2"/>
    </font>
    <font>
      <sz val="7"/>
      <color rgb="FF6B6B6B"/>
      <name val="Arial"/>
      <family val="2"/>
    </font>
    <font>
      <b/>
      <sz val="8"/>
      <color rgb="FFFFFFFF"/>
      <name val="Arial"/>
      <family val="2"/>
    </font>
    <font>
      <b/>
      <sz val="9"/>
      <color rgb="FF1F2A2A"/>
      <name val="Arial"/>
      <family val="2"/>
    </font>
    <font>
      <sz val="9"/>
      <color rgb="FF1F2A2A"/>
      <name val="Arial"/>
      <family val="2"/>
    </font>
    <font>
      <sz val="8"/>
      <color rgb="FF1F2A2A"/>
      <name val="Arial"/>
      <family val="2"/>
    </font>
    <font>
      <b/>
      <sz val="9"/>
      <color rgb="FF2A451D"/>
      <name val="Arial"/>
      <family val="2"/>
    </font>
    <font>
      <b/>
      <sz val="9"/>
      <color rgb="FF7A5200"/>
      <name val="Arial"/>
      <family val="2"/>
    </font>
    <font>
      <b/>
      <sz val="9"/>
      <color rgb="FF8E1B12"/>
      <name val="Arial"/>
      <family val="2"/>
    </font>
    <font>
      <b/>
      <sz val="9"/>
      <color rgb="FF4D4D4D"/>
      <name val="Arial"/>
      <family val="2"/>
    </font>
    <font>
      <b/>
      <sz val="13"/>
      <color rgb="FFFFFFFF"/>
      <name val="Arial"/>
      <family val="2"/>
    </font>
    <font>
      <i/>
      <sz val="9"/>
      <color rgb="FF5E7E80"/>
      <name val="Arial"/>
      <family val="2"/>
    </font>
    <font>
      <sz val="9"/>
      <color rgb="FF3A4A4A"/>
      <name val="Arial"/>
      <family val="2"/>
    </font>
    <font>
      <b/>
      <sz val="10"/>
      <color rgb="FFFFFFFF"/>
      <name val="Arial"/>
      <family val="2"/>
    </font>
    <font>
      <sz val="10"/>
      <color rgb="FF1F2A2A"/>
      <name val="Arial"/>
      <family val="2"/>
    </font>
    <font>
      <b/>
      <sz val="10"/>
      <color rgb="FF1F2A2A"/>
      <name val="Arial"/>
      <family val="2"/>
    </font>
    <font>
      <b/>
      <sz val="10"/>
      <color rgb="FF0000FF"/>
      <name val="Arial"/>
      <family val="2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4F7F7"/>
        <bgColor rgb="FFF2F4F4"/>
      </patternFill>
    </fill>
    <fill>
      <patternFill patternType="solid">
        <fgColor rgb="FFDCEBD3"/>
        <bgColor rgb="FFDDE8E8"/>
      </patternFill>
    </fill>
    <fill>
      <patternFill patternType="solid">
        <fgColor rgb="FFFCEFC7"/>
        <bgColor rgb="FFFFF9DB"/>
      </patternFill>
    </fill>
    <fill>
      <patternFill patternType="solid">
        <fgColor rgb="FFF6D5D1"/>
        <bgColor rgb="FFE7E7E7"/>
      </patternFill>
    </fill>
    <fill>
      <patternFill patternType="solid">
        <fgColor rgb="FFDDE8E8"/>
        <bgColor rgb="FFD9E2E2"/>
      </patternFill>
    </fill>
    <fill>
      <patternFill patternType="solid">
        <fgColor rgb="FFBFD4D4"/>
        <bgColor rgb="FFC9D3D3"/>
      </patternFill>
    </fill>
    <fill>
      <patternFill patternType="solid">
        <fgColor rgb="FF9FBFBF"/>
        <bgColor rgb="FF8FB3B3"/>
      </patternFill>
    </fill>
    <fill>
      <patternFill patternType="solid">
        <fgColor rgb="FF4F7F3A"/>
        <bgColor rgb="FF5E7E80"/>
      </patternFill>
    </fill>
    <fill>
      <patternFill patternType="solid">
        <fgColor rgb="FF366625"/>
        <bgColor rgb="FF4F7F3A"/>
      </patternFill>
    </fill>
    <fill>
      <patternFill patternType="solid">
        <fgColor rgb="FF2A451D"/>
        <bgColor rgb="FF3A4A4A"/>
      </patternFill>
    </fill>
    <fill>
      <patternFill patternType="solid">
        <fgColor rgb="FFF0F0F0"/>
        <bgColor rgb="FFF2F4F4"/>
      </patternFill>
    </fill>
    <fill>
      <patternFill patternType="solid">
        <fgColor rgb="FF003437"/>
        <bgColor rgb="FF003300"/>
      </patternFill>
    </fill>
    <fill>
      <patternFill patternType="solid">
        <fgColor rgb="FFE6EEEE"/>
        <bgColor rgb="FFF0F0F0"/>
      </patternFill>
    </fill>
    <fill>
      <patternFill patternType="solid">
        <fgColor rgb="FFE7E7E7"/>
        <bgColor rgb="FFDDE8E8"/>
      </patternFill>
    </fill>
    <fill>
      <patternFill patternType="solid">
        <fgColor rgb="FFD9E2E2"/>
        <bgColor rgb="FFDDE8E8"/>
      </patternFill>
    </fill>
    <fill>
      <patternFill patternType="solid">
        <fgColor rgb="FFF2F4F4"/>
        <bgColor rgb="FFF4F7F7"/>
      </patternFill>
    </fill>
    <fill>
      <patternFill patternType="solid">
        <fgColor rgb="FFFFF9DB"/>
        <bgColor rgb="FFFCEFC7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366625"/>
      </bottom>
      <diagonal/>
    </border>
    <border>
      <left/>
      <right/>
      <top/>
      <bottom style="thin">
        <color rgb="FFC9D3D3"/>
      </bottom>
      <diagonal/>
    </border>
    <border>
      <left style="thin">
        <color rgb="FFC9D3D3"/>
      </left>
      <right style="thin">
        <color rgb="FFC9D3D3"/>
      </right>
      <top style="thick">
        <color rgb="FF003437"/>
      </top>
      <bottom/>
      <diagonal/>
    </border>
    <border>
      <left style="thin">
        <color rgb="FFC9D3D3"/>
      </left>
      <right style="thin">
        <color rgb="FFC9D3D3"/>
      </right>
      <top style="thick">
        <color rgb="FF2A451D"/>
      </top>
      <bottom/>
      <diagonal/>
    </border>
    <border>
      <left style="thin">
        <color rgb="FFC9D3D3"/>
      </left>
      <right style="thin">
        <color rgb="FFC9D3D3"/>
      </right>
      <top style="thick">
        <color rgb="FF7A5200"/>
      </top>
      <bottom/>
      <diagonal/>
    </border>
    <border>
      <left style="thin">
        <color rgb="FFC9D3D3"/>
      </left>
      <right style="thin">
        <color rgb="FFC9D3D3"/>
      </right>
      <top style="thick">
        <color rgb="FF8E1B12"/>
      </top>
      <bottom/>
      <diagonal/>
    </border>
    <border>
      <left style="thin">
        <color rgb="FFC9D3D3"/>
      </left>
      <right style="thin">
        <color rgb="FFC9D3D3"/>
      </right>
      <top style="thick">
        <color rgb="FF366625"/>
      </top>
      <bottom/>
      <diagonal/>
    </border>
    <border>
      <left style="thin">
        <color rgb="FFC9D3D3"/>
      </left>
      <right style="thin">
        <color rgb="FFC9D3D3"/>
      </right>
      <top/>
      <bottom/>
      <diagonal/>
    </border>
    <border>
      <left style="thin">
        <color rgb="FFC9D3D3"/>
      </left>
      <right style="thin">
        <color rgb="FFC9D3D3"/>
      </right>
      <top/>
      <bottom style="thin">
        <color rgb="FFC9D3D3"/>
      </bottom>
      <diagonal/>
    </border>
    <border>
      <left/>
      <right/>
      <top style="thin">
        <color rgb="FFC9D3D3"/>
      </top>
      <bottom style="thin">
        <color rgb="FFC9D3D3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9D3D3"/>
      </left>
      <right style="thin">
        <color rgb="FFC9D3D3"/>
      </right>
      <top style="thin">
        <color rgb="FFC9D3D3"/>
      </top>
      <bottom style="thin">
        <color rgb="FFC9D3D3"/>
      </bottom>
      <diagonal/>
    </border>
    <border>
      <left style="hair">
        <color rgb="FFC9D3D3"/>
      </left>
      <right style="hair">
        <color rgb="FFC9D3D3"/>
      </right>
      <top/>
      <bottom style="hair">
        <color rgb="FFC9D3D3"/>
      </bottom>
      <diagonal/>
    </border>
    <border>
      <left/>
      <right/>
      <top/>
      <bottom style="hair">
        <color rgb="FFC9D3D3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5" fillId="14" borderId="10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1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14" fontId="5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0" fillId="0" borderId="1" xfId="0" applyBorder="1"/>
    <xf numFmtId="0" fontId="9" fillId="2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 wrapText="1"/>
    </xf>
    <xf numFmtId="0" fontId="20" fillId="8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26" fillId="9" borderId="0" xfId="0" applyFont="1" applyFill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0" fontId="26" fillId="11" borderId="0" xfId="0" applyFont="1" applyFill="1" applyAlignment="1">
      <alignment horizontal="center" vertical="center" wrapText="1"/>
    </xf>
    <xf numFmtId="0" fontId="27" fillId="12" borderId="0" xfId="0" applyFont="1" applyFill="1" applyAlignment="1">
      <alignment horizontal="center" vertical="center" wrapText="1"/>
    </xf>
    <xf numFmtId="0" fontId="28" fillId="6" borderId="0" xfId="0" applyFont="1" applyFill="1" applyAlignment="1">
      <alignment horizontal="center" vertical="center" wrapText="1"/>
    </xf>
    <xf numFmtId="0" fontId="28" fillId="7" borderId="0" xfId="0" applyFont="1" applyFill="1" applyAlignment="1">
      <alignment horizontal="center" vertical="center" wrapText="1"/>
    </xf>
    <xf numFmtId="0" fontId="28" fillId="8" borderId="0" xfId="0" applyFont="1" applyFill="1" applyAlignment="1">
      <alignment horizontal="center" vertical="center" wrapText="1"/>
    </xf>
    <xf numFmtId="0" fontId="29" fillId="9" borderId="0" xfId="0" applyFont="1" applyFill="1" applyAlignment="1">
      <alignment horizontal="center" vertical="center" wrapText="1"/>
    </xf>
    <xf numFmtId="0" fontId="29" fillId="10" borderId="0" xfId="0" applyFont="1" applyFill="1" applyAlignment="1">
      <alignment horizontal="center" vertical="center" wrapText="1"/>
    </xf>
    <xf numFmtId="0" fontId="29" fillId="11" borderId="0" xfId="0" applyFont="1" applyFill="1" applyAlignment="1">
      <alignment horizontal="center" vertical="center" wrapText="1"/>
    </xf>
    <xf numFmtId="0" fontId="30" fillId="12" borderId="0" xfId="0" applyFont="1" applyFill="1" applyAlignment="1">
      <alignment horizontal="center" vertical="center" wrapText="1"/>
    </xf>
    <xf numFmtId="0" fontId="31" fillId="6" borderId="0" xfId="0" applyFont="1" applyFill="1" applyAlignment="1">
      <alignment horizontal="center" vertical="top" wrapText="1"/>
    </xf>
    <xf numFmtId="0" fontId="31" fillId="7" borderId="0" xfId="0" applyFont="1" applyFill="1" applyAlignment="1">
      <alignment horizontal="center" vertical="top" wrapText="1"/>
    </xf>
    <xf numFmtId="0" fontId="31" fillId="8" borderId="0" xfId="0" applyFont="1" applyFill="1" applyAlignment="1">
      <alignment horizontal="center" vertical="top" wrapText="1"/>
    </xf>
    <xf numFmtId="0" fontId="32" fillId="9" borderId="0" xfId="0" applyFont="1" applyFill="1" applyAlignment="1">
      <alignment horizontal="center" vertical="top" wrapText="1"/>
    </xf>
    <xf numFmtId="0" fontId="32" fillId="10" borderId="0" xfId="0" applyFont="1" applyFill="1" applyAlignment="1">
      <alignment horizontal="center" vertical="top" wrapText="1"/>
    </xf>
    <xf numFmtId="0" fontId="32" fillId="11" borderId="0" xfId="0" applyFont="1" applyFill="1" applyAlignment="1">
      <alignment horizontal="center" vertical="top" wrapText="1"/>
    </xf>
    <xf numFmtId="0" fontId="33" fillId="12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1" fontId="35" fillId="0" borderId="0" xfId="0" applyNumberFormat="1" applyFont="1" applyAlignment="1">
      <alignment horizontal="center" vertical="center" wrapText="1"/>
    </xf>
    <xf numFmtId="0" fontId="8" fillId="0" borderId="0" xfId="0" applyFont="1"/>
    <xf numFmtId="0" fontId="38" fillId="3" borderId="0" xfId="0" applyFont="1" applyFill="1" applyAlignment="1">
      <alignment horizontal="center" vertical="center" wrapText="1"/>
    </xf>
    <xf numFmtId="0" fontId="39" fillId="4" borderId="0" xfId="0" applyFont="1" applyFill="1" applyAlignment="1">
      <alignment horizontal="center" vertical="center" wrapText="1"/>
    </xf>
    <xf numFmtId="0" fontId="40" fillId="5" borderId="0" xfId="0" applyFont="1" applyFill="1" applyAlignment="1">
      <alignment horizontal="center" vertical="center" wrapText="1"/>
    </xf>
    <xf numFmtId="0" fontId="41" fillId="15" borderId="0" xfId="0" applyFont="1" applyFill="1" applyAlignment="1">
      <alignment horizontal="center" vertical="center" wrapText="1"/>
    </xf>
    <xf numFmtId="0" fontId="25" fillId="14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horizontal="center" vertical="center" wrapText="1"/>
    </xf>
    <xf numFmtId="1" fontId="36" fillId="0" borderId="13" xfId="0" applyNumberFormat="1" applyFont="1" applyBorder="1" applyAlignment="1">
      <alignment horizontal="center" vertical="center"/>
    </xf>
    <xf numFmtId="0" fontId="36" fillId="0" borderId="13" xfId="0" applyFont="1" applyBorder="1" applyAlignment="1">
      <alignment horizontal="left" vertical="center" wrapText="1"/>
    </xf>
    <xf numFmtId="0" fontId="36" fillId="0" borderId="13" xfId="0" applyFont="1" applyBorder="1" applyAlignment="1">
      <alignment horizontal="center" vertical="center"/>
    </xf>
    <xf numFmtId="14" fontId="36" fillId="0" borderId="13" xfId="0" applyNumberFormat="1" applyFont="1" applyBorder="1" applyAlignment="1">
      <alignment horizontal="center" vertical="center"/>
    </xf>
    <xf numFmtId="0" fontId="44" fillId="17" borderId="13" xfId="0" applyFont="1" applyFill="1" applyBorder="1" applyAlignment="1">
      <alignment horizontal="center" vertical="center"/>
    </xf>
    <xf numFmtId="14" fontId="44" fillId="17" borderId="13" xfId="0" applyNumberFormat="1" applyFont="1" applyFill="1" applyBorder="1" applyAlignment="1">
      <alignment horizontal="center" vertical="center"/>
    </xf>
    <xf numFmtId="0" fontId="44" fillId="17" borderId="13" xfId="0" applyFont="1" applyFill="1" applyBorder="1" applyAlignment="1">
      <alignment horizontal="left" vertical="center"/>
    </xf>
    <xf numFmtId="0" fontId="7" fillId="14" borderId="12" xfId="0" applyFont="1" applyFill="1" applyBorder="1" applyAlignment="1">
      <alignment horizontal="left" vertical="center" wrapText="1"/>
    </xf>
    <xf numFmtId="0" fontId="7" fillId="14" borderId="12" xfId="0" applyFont="1" applyFill="1" applyBorder="1"/>
    <xf numFmtId="0" fontId="46" fillId="0" borderId="13" xfId="0" applyFont="1" applyBorder="1"/>
    <xf numFmtId="0" fontId="47" fillId="0" borderId="13" xfId="0" applyFont="1" applyBorder="1"/>
    <xf numFmtId="0" fontId="46" fillId="0" borderId="12" xfId="0" applyFont="1" applyBorder="1"/>
    <xf numFmtId="0" fontId="48" fillId="18" borderId="12" xfId="0" applyFont="1" applyFill="1" applyBorder="1" applyAlignment="1">
      <alignment horizontal="center" vertical="center" wrapText="1"/>
    </xf>
    <xf numFmtId="0" fontId="46" fillId="0" borderId="0" xfId="0" applyFont="1"/>
    <xf numFmtId="0" fontId="8" fillId="0" borderId="0" xfId="0" applyFont="1" applyAlignment="1">
      <alignment horizontal="left" vertical="center" wrapText="1"/>
    </xf>
    <xf numFmtId="0" fontId="35" fillId="0" borderId="14" xfId="0" applyFont="1" applyBorder="1" applyAlignment="1">
      <alignment horizontal="left" vertical="top" wrapText="1"/>
    </xf>
    <xf numFmtId="0" fontId="36" fillId="0" borderId="14" xfId="0" applyFont="1" applyBorder="1" applyAlignment="1">
      <alignment horizontal="left" vertical="top" wrapText="1"/>
    </xf>
    <xf numFmtId="0" fontId="38" fillId="3" borderId="14" xfId="0" applyFont="1" applyFill="1" applyBorder="1" applyAlignment="1">
      <alignment horizontal="left" vertical="top" wrapText="1"/>
    </xf>
    <xf numFmtId="0" fontId="39" fillId="4" borderId="14" xfId="0" applyFont="1" applyFill="1" applyBorder="1" applyAlignment="1">
      <alignment horizontal="left" vertical="top" wrapText="1"/>
    </xf>
    <xf numFmtId="0" fontId="40" fillId="5" borderId="14" xfId="0" applyFont="1" applyFill="1" applyBorder="1" applyAlignment="1">
      <alignment horizontal="left" vertical="top" wrapText="1"/>
    </xf>
    <xf numFmtId="0" fontId="41" fillId="15" borderId="14" xfId="0" applyFont="1" applyFill="1" applyBorder="1" applyAlignment="1">
      <alignment horizontal="left" vertical="top" wrapText="1"/>
    </xf>
    <xf numFmtId="0" fontId="42" fillId="13" borderId="0" xfId="0" applyFont="1" applyFill="1" applyAlignment="1">
      <alignment horizontal="left" vertical="center" wrapText="1" indent="1"/>
    </xf>
    <xf numFmtId="0" fontId="43" fillId="0" borderId="0" xfId="0" applyFont="1" applyAlignment="1">
      <alignment horizontal="left" vertical="center" wrapText="1" indent="1"/>
    </xf>
    <xf numFmtId="0" fontId="26" fillId="10" borderId="11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2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left" vertical="center" wrapText="1" indent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25" fillId="14" borderId="10" xfId="0" applyFont="1" applyFill="1" applyBorder="1" applyAlignment="1">
      <alignment horizontal="left" vertical="center" wrapText="1" indent="1"/>
    </xf>
    <xf numFmtId="0" fontId="25" fillId="14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34" fillId="13" borderId="0" xfId="0" applyFont="1" applyFill="1" applyAlignment="1">
      <alignment horizontal="center" vertical="center" wrapText="1"/>
    </xf>
    <xf numFmtId="0" fontId="35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45" fillId="13" borderId="0" xfId="0" applyFont="1" applyFill="1" applyAlignment="1">
      <alignment horizontal="left" vertical="center" wrapText="1" indent="1"/>
    </xf>
    <xf numFmtId="0" fontId="7" fillId="0" borderId="2" xfId="0" applyFont="1" applyBorder="1"/>
    <xf numFmtId="0" fontId="0" fillId="0" borderId="0" xfId="0" applyAlignment="1">
      <alignment horizontal="right" vertical="center" wrapText="1"/>
    </xf>
    <xf numFmtId="0" fontId="49" fillId="0" borderId="0" xfId="0" applyFont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9" fillId="0" borderId="0" xfId="0" applyFont="1" applyAlignment="1">
      <alignment vertical="center" wrapText="1"/>
    </xf>
  </cellXfs>
  <cellStyles count="1">
    <cellStyle name="Normal" xfId="0" builtinId="0"/>
  </cellStyles>
  <dxfs count="20">
    <dxf>
      <font>
        <b/>
        <color rgb="FF8E1B12"/>
        <name val="Arial"/>
        <charset val="1"/>
      </font>
    </dxf>
    <dxf>
      <font>
        <b/>
        <sz val="9"/>
        <color rgb="FF4D4D4D"/>
        <name val="Arial"/>
        <charset val="1"/>
      </font>
      <fill>
        <patternFill>
          <bgColor rgb="FFE7E7E7"/>
        </patternFill>
      </fill>
    </dxf>
    <dxf>
      <font>
        <b/>
        <sz val="9"/>
        <color rgb="FF8E1B12"/>
        <name val="Arial"/>
        <charset val="1"/>
      </font>
      <fill>
        <patternFill>
          <bgColor rgb="FFF6D5D1"/>
        </patternFill>
      </fill>
    </dxf>
    <dxf>
      <font>
        <b/>
        <sz val="9"/>
        <color rgb="FF7A5200"/>
        <name val="Arial"/>
        <charset val="1"/>
      </font>
      <fill>
        <patternFill>
          <bgColor rgb="FFFCEFC7"/>
        </patternFill>
      </fill>
    </dxf>
    <dxf>
      <font>
        <b/>
        <sz val="9"/>
        <color rgb="FF2A451D"/>
        <name val="Arial"/>
        <charset val="1"/>
      </font>
      <fill>
        <patternFill>
          <bgColor rgb="FFDCEBD3"/>
        </patternFill>
      </fill>
    </dxf>
    <dxf>
      <font>
        <b/>
        <color rgb="FF7A5200"/>
        <name val="Arial"/>
        <charset val="1"/>
      </font>
      <fill>
        <patternFill>
          <bgColor rgb="FFFCEFC7"/>
        </patternFill>
      </fill>
    </dxf>
    <dxf>
      <font>
        <b/>
        <color rgb="FF8E1B12"/>
        <name val="Arial"/>
        <charset val="1"/>
      </font>
      <fill>
        <patternFill>
          <bgColor rgb="FFF6D5D1"/>
        </patternFill>
      </fill>
    </dxf>
    <dxf>
      <font>
        <b/>
        <color rgb="FF7A5200"/>
        <name val="Arial"/>
        <charset val="1"/>
      </font>
      <fill>
        <patternFill>
          <bgColor rgb="FFFCEFC7"/>
        </patternFill>
      </fill>
    </dxf>
    <dxf>
      <font>
        <b/>
        <color rgb="FF8E1B12"/>
        <name val="Arial"/>
        <charset val="1"/>
      </font>
      <fill>
        <patternFill>
          <bgColor rgb="FFF6D5D1"/>
        </patternFill>
      </fill>
    </dxf>
    <dxf>
      <font>
        <b/>
        <color rgb="FF2A451D"/>
        <name val="Arial"/>
        <charset val="1"/>
      </font>
    </dxf>
    <dxf>
      <fill>
        <patternFill>
          <bgColor rgb="FFF8FBF8"/>
        </patternFill>
      </fill>
    </dxf>
    <dxf>
      <font>
        <b/>
        <color rgb="FF2A451D"/>
        <name val="Arial"/>
        <charset val="1"/>
      </font>
    </dxf>
    <dxf>
      <font>
        <b/>
        <color rgb="FF8E1B12"/>
        <name val="Arial"/>
        <charset val="1"/>
      </font>
      <fill>
        <patternFill>
          <bgColor rgb="FFF6D5D1"/>
        </patternFill>
      </fill>
    </dxf>
    <dxf>
      <font>
        <b/>
        <color rgb="FF7A5200"/>
        <name val="Arial"/>
        <charset val="1"/>
      </font>
      <fill>
        <patternFill>
          <bgColor rgb="FFFCEFC7"/>
        </patternFill>
      </fill>
    </dxf>
    <dxf>
      <font>
        <b/>
        <color rgb="FF4D4D4D"/>
        <name val="Arial"/>
        <charset val="1"/>
      </font>
      <fill>
        <patternFill>
          <bgColor rgb="FFE7E7E7"/>
        </patternFill>
      </fill>
    </dxf>
    <dxf>
      <font>
        <b/>
        <color rgb="FF8E1B12"/>
        <name val="Arial"/>
        <charset val="1"/>
      </font>
      <fill>
        <patternFill>
          <bgColor rgb="FFF6D5D1"/>
        </patternFill>
      </fill>
    </dxf>
    <dxf>
      <font>
        <b/>
        <color rgb="FF7A5200"/>
        <name val="Arial"/>
        <charset val="1"/>
      </font>
      <fill>
        <patternFill>
          <bgColor rgb="FFFCEFC7"/>
        </patternFill>
      </fill>
    </dxf>
    <dxf>
      <font>
        <b/>
        <color rgb="FF2A451D"/>
        <name val="Arial"/>
        <charset val="1"/>
      </font>
      <fill>
        <patternFill>
          <bgColor rgb="FFDCEBD3"/>
        </patternFill>
      </fill>
    </dxf>
    <dxf>
      <border diagonalUp="0" diagonalDown="0">
        <left/>
        <right/>
        <top/>
        <bottom style="hair">
          <color rgb="FFC9D3D3"/>
        </bottom>
      </border>
    </dxf>
    <dxf>
      <border diagonalUp="0" diagonalDown="0">
        <left/>
        <right/>
        <top/>
        <bottom style="hair">
          <color rgb="FFC9D3D3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0F0"/>
      <rgbColor rgb="FFFF00FF"/>
      <rgbColor rgb="FF00FFFF"/>
      <rgbColor rgb="FF800000"/>
      <rgbColor rgb="FF366625"/>
      <rgbColor rgb="FF000080"/>
      <rgbColor rgb="FF7A5200"/>
      <rgbColor rgb="FF800080"/>
      <rgbColor rgb="FF008080"/>
      <rgbColor rgb="FFB0B0B0"/>
      <rgbColor rgb="FF5E7E80"/>
      <rgbColor rgb="FFE7E7E7"/>
      <rgbColor rgb="FF4D4D4D"/>
      <rgbColor rgb="FFFFF9DB"/>
      <rgbColor rgb="FFE6EEEE"/>
      <rgbColor rgb="FF660066"/>
      <rgbColor rgb="FFF8FBF8"/>
      <rgbColor rgb="FF0066CC"/>
      <rgbColor rgb="FFC9D3D3"/>
      <rgbColor rgb="FF000080"/>
      <rgbColor rgb="FFFF00FF"/>
      <rgbColor rgb="FFF2F4F4"/>
      <rgbColor rgb="FF00FFFF"/>
      <rgbColor rgb="FF800080"/>
      <rgbColor rgb="FF800000"/>
      <rgbColor rgb="FF008080"/>
      <rgbColor rgb="FF0000FF"/>
      <rgbColor rgb="FF00CCFF"/>
      <rgbColor rgb="FFDDE8E8"/>
      <rgbColor rgb="FFDCEBD3"/>
      <rgbColor rgb="FFFCEFC7"/>
      <rgbColor rgb="FF9FBFBF"/>
      <rgbColor rgb="FFD9E2E2"/>
      <rgbColor rgb="FFBFD4D4"/>
      <rgbColor rgb="FFF6D5D1"/>
      <rgbColor rgb="FF3366FF"/>
      <rgbColor rgb="FF33CCCC"/>
      <rgbColor rgb="FF99CC00"/>
      <rgbColor rgb="FFF4F7F7"/>
      <rgbColor rgb="FFFF9900"/>
      <rgbColor rgb="FFFF6600"/>
      <rgbColor rgb="FF6B6B6B"/>
      <rgbColor rgb="FF8FB3B3"/>
      <rgbColor rgb="FF003437"/>
      <rgbColor rgb="FF4F7F3A"/>
      <rgbColor rgb="FF003300"/>
      <rgbColor rgb="FF2A451D"/>
      <rgbColor rgb="FF8E1B12"/>
      <rgbColor rgb="FF993366"/>
      <rgbColor rgb="FF3A4A4A"/>
      <rgbColor rgb="FF1F2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359280</xdr:colOff>
      <xdr:row>2</xdr:row>
      <xdr:rowOff>266040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41120" y="123840"/>
          <a:ext cx="1923840" cy="59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437"/>
    <pageSetUpPr fitToPage="1"/>
  </sheetPr>
  <dimension ref="B1:N55"/>
  <sheetViews>
    <sheetView showGridLines="0" topLeftCell="A28" zoomScaleNormal="100" workbookViewId="0"/>
  </sheetViews>
  <sheetFormatPr defaultColWidth="8.6640625" defaultRowHeight="14.4" x14ac:dyDescent="0.3"/>
  <cols>
    <col min="1" max="1" width="2" customWidth="1"/>
    <col min="2" max="2" width="19" customWidth="1"/>
    <col min="3" max="3" width="3.21875" customWidth="1"/>
    <col min="4" max="4" width="19" customWidth="1"/>
    <col min="5" max="5" width="3.21875" customWidth="1"/>
    <col min="6" max="6" width="19" customWidth="1"/>
    <col min="7" max="7" width="3.21875" customWidth="1"/>
    <col min="8" max="8" width="19" customWidth="1"/>
    <col min="9" max="9" width="3.21875" customWidth="1"/>
    <col min="10" max="10" width="19" customWidth="1"/>
    <col min="11" max="11" width="3.21875" customWidth="1"/>
    <col min="12" max="12" width="19" customWidth="1"/>
    <col min="13" max="13" width="3.21875" customWidth="1"/>
    <col min="14" max="14" width="19" customWidth="1"/>
    <col min="15" max="15" width="2" customWidth="1"/>
  </cols>
  <sheetData>
    <row r="1" spans="2:14" ht="9.75" customHeight="1" x14ac:dyDescent="0.3"/>
    <row r="2" spans="2:14" ht="25.5" customHeight="1" x14ac:dyDescent="0.3">
      <c r="F2" s="97" t="s">
        <v>0</v>
      </c>
      <c r="G2" s="97"/>
      <c r="H2" s="97"/>
      <c r="I2" s="97"/>
      <c r="J2" s="97"/>
      <c r="K2" s="97"/>
      <c r="L2" s="97"/>
      <c r="N2" s="4" t="s">
        <v>1</v>
      </c>
    </row>
    <row r="3" spans="2:14" ht="21.75" customHeight="1" x14ac:dyDescent="0.3">
      <c r="F3" s="98" t="s">
        <v>2</v>
      </c>
      <c r="G3" s="98"/>
      <c r="H3" s="98"/>
      <c r="I3" s="98"/>
      <c r="J3" s="98"/>
      <c r="K3" s="98"/>
      <c r="L3" s="98"/>
      <c r="N3" s="5">
        <f ca="1">TODAY()</f>
        <v>46302</v>
      </c>
    </row>
    <row r="4" spans="2:14" ht="18" customHeight="1" x14ac:dyDescent="0.3">
      <c r="N4" s="6" t="s">
        <v>3</v>
      </c>
    </row>
    <row r="5" spans="2:14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ht="12" customHeight="1" x14ac:dyDescent="0.3"/>
    <row r="7" spans="2:14" ht="19.5" customHeight="1" x14ac:dyDescent="0.3">
      <c r="B7" s="86" t="s">
        <v>4</v>
      </c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</row>
    <row r="8" spans="2:14" ht="15" customHeight="1" x14ac:dyDescent="0.3">
      <c r="B8" s="94" t="s">
        <v>5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</row>
    <row r="9" spans="2:14" ht="19.5" customHeight="1" x14ac:dyDescent="0.3">
      <c r="B9" s="8" t="s">
        <v>6</v>
      </c>
      <c r="D9" s="9" t="s">
        <v>7</v>
      </c>
      <c r="F9" s="10" t="s">
        <v>8</v>
      </c>
      <c r="H9" s="11" t="s">
        <v>9</v>
      </c>
      <c r="J9" s="12" t="s">
        <v>10</v>
      </c>
      <c r="L9" s="8" t="s">
        <v>11</v>
      </c>
      <c r="N9" s="13" t="s">
        <v>12</v>
      </c>
    </row>
    <row r="10" spans="2:14" ht="39.75" customHeight="1" x14ac:dyDescent="0.3">
      <c r="B10" s="14">
        <f>COUNTA(Carteira!$A$5:$A$204)</f>
        <v>12</v>
      </c>
      <c r="D10" s="15">
        <f>COUNTIF(Carteira!$N$5:$N$204,"No prazo")</f>
        <v>8</v>
      </c>
      <c r="F10" s="16">
        <f>COUNTIF(Carteira!$N$5:$N$204,"Atenção")</f>
        <v>2</v>
      </c>
      <c r="H10" s="17">
        <f>COUNTIF(Carteira!$N$5:$N$204,"Bloqueado")</f>
        <v>1</v>
      </c>
      <c r="J10" s="18">
        <f>COUNTIF(Carteira!$F$5:$F$204,"Validado*")</f>
        <v>4</v>
      </c>
      <c r="L10" s="14">
        <f>SUMPRODUCT((Carteira!$G$5:$G$204&lt;&gt;"")*(Carteira!$G$5:$G$204&lt;&gt;"Sem recorrência definida")*(Carteira!$G$5:$G$204&lt;&gt;"Não informada"))</f>
        <v>1</v>
      </c>
      <c r="N10" s="19">
        <f ca="1">COUNTIF(Carteira!$M$5:$M$204,"&gt;"&amp;par_alerta_dias)</f>
        <v>7</v>
      </c>
    </row>
    <row r="11" spans="2:14" ht="18" customHeight="1" x14ac:dyDescent="0.3">
      <c r="B11" s="20" t="str">
        <f>"obras ativas"</f>
        <v>obras ativas</v>
      </c>
      <c r="D11" s="21" t="str">
        <f>IF($B$10=0,"",TEXT(D10/$B$10,"0%")&amp;" da carteira")</f>
        <v>67% da carteira</v>
      </c>
      <c r="F11" s="22" t="str">
        <f>IF($B$10=0,"",TEXT(F10/$B$10,"0%")&amp;" da carteira")</f>
        <v>17% da carteira</v>
      </c>
      <c r="H11" s="23" t="str">
        <f>IF($B$10=0,"",TEXT(H10/$B$10,"0%")&amp;" da carteira")</f>
        <v>8% da carteira</v>
      </c>
      <c r="J11" s="20" t="str">
        <f>IF($B$10=0,"",TEXT(J10/$B$10,"0%")&amp;" da carteira")</f>
        <v>33% da carteira</v>
      </c>
      <c r="L11" s="20" t="str">
        <f>IF($B$10=0,"",TEXT(L10/$B$10,"0%")&amp;" da carteira")</f>
        <v>8% da carteira</v>
      </c>
      <c r="N11" s="20" t="str">
        <f>"há mais de "&amp;par_alerta_dias&amp;" dias"</f>
        <v>há mais de 7 dias</v>
      </c>
    </row>
    <row r="12" spans="2:14" ht="12" customHeight="1" x14ac:dyDescent="0.3"/>
    <row r="13" spans="2:14" ht="19.5" customHeight="1" x14ac:dyDescent="0.3">
      <c r="B13" s="86" t="s">
        <v>13</v>
      </c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</row>
    <row r="14" spans="2:14" ht="15" customHeight="1" x14ac:dyDescent="0.3">
      <c r="B14" s="94" t="s">
        <v>14</v>
      </c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</row>
    <row r="15" spans="2:14" ht="15.75" customHeight="1" x14ac:dyDescent="0.3">
      <c r="B15" s="24" t="s">
        <v>15</v>
      </c>
      <c r="C15" s="99" t="s">
        <v>16</v>
      </c>
      <c r="D15" s="25" t="s">
        <v>17</v>
      </c>
      <c r="E15" s="99" t="s">
        <v>16</v>
      </c>
      <c r="F15" s="26" t="s">
        <v>18</v>
      </c>
      <c r="G15" s="99" t="s">
        <v>16</v>
      </c>
      <c r="H15" s="27" t="s">
        <v>19</v>
      </c>
      <c r="I15" s="99" t="s">
        <v>16</v>
      </c>
      <c r="J15" s="28" t="s">
        <v>20</v>
      </c>
      <c r="K15" s="99" t="s">
        <v>16</v>
      </c>
      <c r="L15" s="29" t="s">
        <v>21</v>
      </c>
      <c r="M15" s="100" t="s">
        <v>22</v>
      </c>
      <c r="N15" s="30" t="s">
        <v>23</v>
      </c>
    </row>
    <row r="16" spans="2:14" ht="33.75" customHeight="1" x14ac:dyDescent="0.3">
      <c r="B16" s="31" t="str">
        <f>Listas!$B$3</f>
        <v>Em elaboração</v>
      </c>
      <c r="C16" s="99"/>
      <c r="D16" s="32" t="str">
        <f>Listas!$B$4</f>
        <v>Estruturado – aguardando validação</v>
      </c>
      <c r="E16" s="99"/>
      <c r="F16" s="33" t="str">
        <f>Listas!$B$5</f>
        <v>Em ajuste com o PM</v>
      </c>
      <c r="G16" s="99"/>
      <c r="H16" s="34" t="str">
        <f>Listas!$B$6</f>
        <v>Validado pelo PM</v>
      </c>
      <c r="I16" s="99"/>
      <c r="J16" s="35" t="str">
        <f>Listas!$B$7</f>
        <v>Validado e entregue</v>
      </c>
      <c r="K16" s="99"/>
      <c r="L16" s="36" t="str">
        <f>Listas!$B$8</f>
        <v>Em atualização periódica</v>
      </c>
      <c r="M16" s="100"/>
      <c r="N16" s="37" t="str">
        <f>Listas!$B$9</f>
        <v>Não informada</v>
      </c>
    </row>
    <row r="17" spans="2:14" ht="36" customHeight="1" x14ac:dyDescent="0.3">
      <c r="B17" s="38">
        <f>COUNTIF(Carteira!$F$5:$F$204,Listas!$B$3)</f>
        <v>0</v>
      </c>
      <c r="C17" s="99"/>
      <c r="D17" s="39">
        <f>COUNTIF(Carteira!$F$5:$F$204,Listas!$B$4)</f>
        <v>2</v>
      </c>
      <c r="E17" s="99"/>
      <c r="F17" s="40">
        <f>COUNTIF(Carteira!$F$5:$F$204,Listas!$B$5)</f>
        <v>1</v>
      </c>
      <c r="G17" s="99"/>
      <c r="H17" s="41">
        <f>COUNTIF(Carteira!$F$5:$F$204,Listas!$B$6)</f>
        <v>1</v>
      </c>
      <c r="I17" s="99"/>
      <c r="J17" s="42">
        <f>COUNTIF(Carteira!$F$5:$F$204,Listas!$B$7)</f>
        <v>3</v>
      </c>
      <c r="K17" s="99"/>
      <c r="L17" s="43">
        <f>COUNTIF(Carteira!$F$5:$F$204,Listas!$B$8)</f>
        <v>5</v>
      </c>
      <c r="M17" s="100"/>
      <c r="N17" s="44">
        <f>COUNTIF(Carteira!$F$5:$F$204,Listas!$B$9)</f>
        <v>0</v>
      </c>
    </row>
    <row r="18" spans="2:14" ht="15.75" customHeight="1" x14ac:dyDescent="0.3">
      <c r="B18" s="45" t="str">
        <f>IF(B17=1,"obra","obras")</f>
        <v>obras</v>
      </c>
      <c r="C18" s="99"/>
      <c r="D18" s="46" t="str">
        <f>IF(D17=1,"obra","obras")</f>
        <v>obras</v>
      </c>
      <c r="E18" s="99"/>
      <c r="F18" s="47" t="str">
        <f>IF(F17=1,"obra","obras")</f>
        <v>obra</v>
      </c>
      <c r="G18" s="99"/>
      <c r="H18" s="48" t="str">
        <f>IF(H17=1,"obra","obras")</f>
        <v>obra</v>
      </c>
      <c r="I18" s="99"/>
      <c r="J18" s="49" t="str">
        <f>IF(J17=1,"obra","obras")</f>
        <v>obras</v>
      </c>
      <c r="K18" s="99"/>
      <c r="L18" s="50" t="str">
        <f>IF(L17=1,"obra","obras")</f>
        <v>obras</v>
      </c>
      <c r="M18" s="100"/>
      <c r="N18" s="51" t="str">
        <f>IF(N17=1,"obra","obras")</f>
        <v>obras</v>
      </c>
    </row>
    <row r="19" spans="2:14" ht="15.75" customHeight="1" x14ac:dyDescent="0.3">
      <c r="B19" s="94" t="s">
        <v>24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N19" s="52" t="str">
        <f>"Total: "&amp;SUM(B17,D17,F17,H17,J17,L17,N17)&amp;" obras"</f>
        <v>Total: 12 obras</v>
      </c>
    </row>
    <row r="20" spans="2:14" ht="12" customHeight="1" x14ac:dyDescent="0.3"/>
    <row r="21" spans="2:14" ht="19.5" customHeight="1" x14ac:dyDescent="0.3">
      <c r="B21" s="86" t="s">
        <v>25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</row>
    <row r="22" spans="2:14" ht="15" customHeight="1" x14ac:dyDescent="0.3">
      <c r="B22" s="94" t="s">
        <v>26</v>
      </c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</row>
    <row r="23" spans="2:14" ht="27.75" customHeight="1" x14ac:dyDescent="0.3">
      <c r="B23" s="95" t="s">
        <v>27</v>
      </c>
      <c r="C23" s="95"/>
      <c r="D23" s="95" t="s">
        <v>28</v>
      </c>
      <c r="E23" s="95"/>
      <c r="F23" s="95" t="s">
        <v>7</v>
      </c>
      <c r="G23" s="95"/>
      <c r="H23" s="95" t="s">
        <v>8</v>
      </c>
      <c r="I23" s="95"/>
      <c r="J23" s="95" t="s">
        <v>9</v>
      </c>
      <c r="K23" s="95"/>
      <c r="L23" s="95" t="s">
        <v>29</v>
      </c>
      <c r="M23" s="95"/>
      <c r="N23" s="3" t="s">
        <v>30</v>
      </c>
    </row>
    <row r="24" spans="2:14" ht="18" customHeight="1" x14ac:dyDescent="0.3">
      <c r="B24" s="96" t="str">
        <f>IF(Listas!$H$3="","",Listas!$H$3)</f>
        <v>PAULO NETTO</v>
      </c>
      <c r="C24" s="96"/>
      <c r="D24" s="89">
        <f>IF($B24="","",COUNTIF(Carteira!$C$5:$C$204,$B24))</f>
        <v>2</v>
      </c>
      <c r="E24" s="89"/>
      <c r="F24" s="89">
        <f>IF($B24="","",COUNTIFS(Carteira!$C$5:$C$204,$B24,Carteira!$N$5:$N$204,"No prazo"))</f>
        <v>1</v>
      </c>
      <c r="G24" s="89"/>
      <c r="H24" s="89">
        <f>IF($B24="","",COUNTIFS(Carteira!$C$5:$C$204,$B24,Carteira!$N$5:$N$204,"Atenção"))</f>
        <v>0</v>
      </c>
      <c r="I24" s="89"/>
      <c r="J24" s="89">
        <f>IF($B24="","",COUNTIFS(Carteira!$C$5:$C$204,$B24,Carteira!$N$5:$N$204,"Bloqueado"))</f>
        <v>1</v>
      </c>
      <c r="K24" s="89"/>
      <c r="L24" s="89">
        <f>IF($B24="","",COUNTIFS(Carteira!$C$5:$C$204,$B24,Carteira!$F$5:$F$204,Listas!$B$4)+COUNTIFS(Carteira!$C$5:$C$204,$B24,Carteira!$F$5:$F$204,Listas!$B$5))</f>
        <v>1</v>
      </c>
      <c r="M24" s="89"/>
      <c r="N24" s="2">
        <f>IF($B24="","",COUNTIFS(Carteira!$C$5:$C$204,$B24,Carteira!$F$5:$F$204,"Validado*"))</f>
        <v>1</v>
      </c>
    </row>
    <row r="25" spans="2:14" ht="18" customHeight="1" x14ac:dyDescent="0.3">
      <c r="B25" s="96" t="str">
        <f>IF(Listas!$H$4="","",Listas!$H$4)</f>
        <v>MATHEUS</v>
      </c>
      <c r="C25" s="96"/>
      <c r="D25" s="89">
        <f>IF($B25="","",COUNTIF(Carteira!$C$5:$C$204,$B25))</f>
        <v>1</v>
      </c>
      <c r="E25" s="89"/>
      <c r="F25" s="89">
        <f>IF($B25="","",COUNTIFS(Carteira!$C$5:$C$204,$B25,Carteira!$N$5:$N$204,"No prazo"))</f>
        <v>0</v>
      </c>
      <c r="G25" s="89"/>
      <c r="H25" s="89">
        <f>IF($B25="","",COUNTIFS(Carteira!$C$5:$C$204,$B25,Carteira!$N$5:$N$204,"Atenção"))</f>
        <v>1</v>
      </c>
      <c r="I25" s="89"/>
      <c r="J25" s="89">
        <f>IF($B25="","",COUNTIFS(Carteira!$C$5:$C$204,$B25,Carteira!$N$5:$N$204,"Bloqueado"))</f>
        <v>0</v>
      </c>
      <c r="K25" s="89"/>
      <c r="L25" s="89">
        <f>IF($B25="","",COUNTIFS(Carteira!$C$5:$C$204,$B25,Carteira!$F$5:$F$204,Listas!$B$4)+COUNTIFS(Carteira!$C$5:$C$204,$B25,Carteira!$F$5:$F$204,Listas!$B$5))</f>
        <v>1</v>
      </c>
      <c r="M25" s="89"/>
      <c r="N25" s="2">
        <f>IF($B25="","",COUNTIFS(Carteira!$C$5:$C$204,$B25,Carteira!$F$5:$F$204,"Validado*"))</f>
        <v>0</v>
      </c>
    </row>
    <row r="26" spans="2:14" ht="18" customHeight="1" x14ac:dyDescent="0.3">
      <c r="B26" s="96" t="str">
        <f>IF(Listas!$H$5="","",Listas!$H$5)</f>
        <v>JEOVANNA</v>
      </c>
      <c r="C26" s="96"/>
      <c r="D26" s="89">
        <f>IF($B26="","",COUNTIF(Carteira!$C$5:$C$204,$B26))</f>
        <v>2</v>
      </c>
      <c r="E26" s="89"/>
      <c r="F26" s="89">
        <f>IF($B26="","",COUNTIFS(Carteira!$C$5:$C$204,$B26,Carteira!$N$5:$N$204,"No prazo"))</f>
        <v>1</v>
      </c>
      <c r="G26" s="89"/>
      <c r="H26" s="89">
        <f>IF($B26="","",COUNTIFS(Carteira!$C$5:$C$204,$B26,Carteira!$N$5:$N$204,"Atenção"))</f>
        <v>1</v>
      </c>
      <c r="I26" s="89"/>
      <c r="J26" s="89">
        <f>IF($B26="","",COUNTIFS(Carteira!$C$5:$C$204,$B26,Carteira!$N$5:$N$204,"Bloqueado"))</f>
        <v>0</v>
      </c>
      <c r="K26" s="89"/>
      <c r="L26" s="89">
        <f>IF($B26="","",COUNTIFS(Carteira!$C$5:$C$204,$B26,Carteira!$F$5:$F$204,Listas!$B$4)+COUNTIFS(Carteira!$C$5:$C$204,$B26,Carteira!$F$5:$F$204,Listas!$B$5))</f>
        <v>1</v>
      </c>
      <c r="M26" s="89"/>
      <c r="N26" s="2">
        <f>IF($B26="","",COUNTIFS(Carteira!$C$5:$C$204,$B26,Carteira!$F$5:$F$204,"Validado*"))</f>
        <v>0</v>
      </c>
    </row>
    <row r="27" spans="2:14" ht="18" customHeight="1" x14ac:dyDescent="0.3">
      <c r="B27" s="96" t="str">
        <f>IF(Listas!$H$6="","",Listas!$H$6)</f>
        <v>ERIKA</v>
      </c>
      <c r="C27" s="96"/>
      <c r="D27" s="89">
        <f>IF($B27="","",COUNTIF(Carteira!$C$5:$C$204,$B27))</f>
        <v>4</v>
      </c>
      <c r="E27" s="89"/>
      <c r="F27" s="89">
        <f>IF($B27="","",COUNTIFS(Carteira!$C$5:$C$204,$B27,Carteira!$N$5:$N$204,"No prazo"))</f>
        <v>4</v>
      </c>
      <c r="G27" s="89"/>
      <c r="H27" s="89">
        <f>IF($B27="","",COUNTIFS(Carteira!$C$5:$C$204,$B27,Carteira!$N$5:$N$204,"Atenção"))</f>
        <v>0</v>
      </c>
      <c r="I27" s="89"/>
      <c r="J27" s="89">
        <f>IF($B27="","",COUNTIFS(Carteira!$C$5:$C$204,$B27,Carteira!$N$5:$N$204,"Bloqueado"))</f>
        <v>0</v>
      </c>
      <c r="K27" s="89"/>
      <c r="L27" s="89">
        <f>IF($B27="","",COUNTIFS(Carteira!$C$5:$C$204,$B27,Carteira!$F$5:$F$204,Listas!$B$4)+COUNTIFS(Carteira!$C$5:$C$204,$B27,Carteira!$F$5:$F$204,Listas!$B$5))</f>
        <v>0</v>
      </c>
      <c r="M27" s="89"/>
      <c r="N27" s="2">
        <f>IF($B27="","",COUNTIFS(Carteira!$C$5:$C$204,$B27,Carteira!$F$5:$F$204,"Validado*"))</f>
        <v>0</v>
      </c>
    </row>
    <row r="28" spans="2:14" ht="18" customHeight="1" x14ac:dyDescent="0.3">
      <c r="B28" s="96" t="str">
        <f>IF(Listas!$H$7="","",Listas!$H$7)</f>
        <v>LAERÇO</v>
      </c>
      <c r="C28" s="96"/>
      <c r="D28" s="89">
        <f>IF($B28="","",COUNTIF(Carteira!$C$5:$C$204,$B28))</f>
        <v>2</v>
      </c>
      <c r="E28" s="89"/>
      <c r="F28" s="89">
        <f>IF($B28="","",COUNTIFS(Carteira!$C$5:$C$204,$B28,Carteira!$N$5:$N$204,"No prazo"))</f>
        <v>2</v>
      </c>
      <c r="G28" s="89"/>
      <c r="H28" s="89">
        <f>IF($B28="","",COUNTIFS(Carteira!$C$5:$C$204,$B28,Carteira!$N$5:$N$204,"Atenção"))</f>
        <v>0</v>
      </c>
      <c r="I28" s="89"/>
      <c r="J28" s="89">
        <f>IF($B28="","",COUNTIFS(Carteira!$C$5:$C$204,$B28,Carteira!$N$5:$N$204,"Bloqueado"))</f>
        <v>0</v>
      </c>
      <c r="K28" s="89"/>
      <c r="L28" s="89">
        <f>IF($B28="","",COUNTIFS(Carteira!$C$5:$C$204,$B28,Carteira!$F$5:$F$204,Listas!$B$4)+COUNTIFS(Carteira!$C$5:$C$204,$B28,Carteira!$F$5:$F$204,Listas!$B$5))</f>
        <v>0</v>
      </c>
      <c r="M28" s="89"/>
      <c r="N28" s="2">
        <f>IF($B28="","",COUNTIFS(Carteira!$C$5:$C$204,$B28,Carteira!$F$5:$F$204,"Validado*"))</f>
        <v>2</v>
      </c>
    </row>
    <row r="29" spans="2:14" ht="18" customHeight="1" x14ac:dyDescent="0.3">
      <c r="B29" s="96" t="str">
        <f>IF(Listas!$H$8="","",Listas!$H$8)</f>
        <v>LAURA</v>
      </c>
      <c r="C29" s="96"/>
      <c r="D29" s="89">
        <f>IF($B29="","",COUNTIF(Carteira!$C$5:$C$204,$B29))</f>
        <v>1</v>
      </c>
      <c r="E29" s="89"/>
      <c r="F29" s="89">
        <f>IF($B29="","",COUNTIFS(Carteira!$C$5:$C$204,$B29,Carteira!$N$5:$N$204,"No prazo"))</f>
        <v>0</v>
      </c>
      <c r="G29" s="89"/>
      <c r="H29" s="89">
        <f>IF($B29="","",COUNTIFS(Carteira!$C$5:$C$204,$B29,Carteira!$N$5:$N$204,"Atenção"))</f>
        <v>0</v>
      </c>
      <c r="I29" s="89"/>
      <c r="J29" s="89">
        <f>IF($B29="","",COUNTIFS(Carteira!$C$5:$C$204,$B29,Carteira!$N$5:$N$204,"Bloqueado"))</f>
        <v>0</v>
      </c>
      <c r="K29" s="89"/>
      <c r="L29" s="89">
        <f>IF($B29="","",COUNTIFS(Carteira!$C$5:$C$204,$B29,Carteira!$F$5:$F$204,Listas!$B$4)+COUNTIFS(Carteira!$C$5:$C$204,$B29,Carteira!$F$5:$F$204,Listas!$B$5))</f>
        <v>0</v>
      </c>
      <c r="M29" s="89"/>
      <c r="N29" s="2">
        <f>IF($B29="","",COUNTIFS(Carteira!$C$5:$C$204,$B29,Carteira!$F$5:$F$204,"Validado*"))</f>
        <v>1</v>
      </c>
    </row>
    <row r="30" spans="2:14" ht="18" customHeight="1" x14ac:dyDescent="0.3">
      <c r="B30" s="96" t="str">
        <f>IF(Listas!$H$9="","",Listas!$H$9)</f>
        <v/>
      </c>
      <c r="C30" s="96"/>
      <c r="D30" s="89" t="str">
        <f>IF($B30="","",COUNTIF(Carteira!$C$5:$C$204,$B30))</f>
        <v/>
      </c>
      <c r="E30" s="89"/>
      <c r="F30" s="89" t="str">
        <f>IF($B30="","",COUNTIFS(Carteira!$C$5:$C$204,$B30,Carteira!$N$5:$N$204,"No prazo"))</f>
        <v/>
      </c>
      <c r="G30" s="89"/>
      <c r="H30" s="89" t="str">
        <f>IF($B30="","",COUNTIFS(Carteira!$C$5:$C$204,$B30,Carteira!$N$5:$N$204,"Atenção"))</f>
        <v/>
      </c>
      <c r="I30" s="89"/>
      <c r="J30" s="89" t="str">
        <f>IF($B30="","",COUNTIFS(Carteira!$C$5:$C$204,$B30,Carteira!$N$5:$N$204,"Bloqueado"))</f>
        <v/>
      </c>
      <c r="K30" s="89"/>
      <c r="L30" s="89" t="str">
        <f>IF($B30="","",COUNTIFS(Carteira!$C$5:$C$204,$B30,Carteira!$F$5:$F$204,Listas!$B$4)+COUNTIFS(Carteira!$C$5:$C$204,$B30,Carteira!$F$5:$F$204,Listas!$B$5))</f>
        <v/>
      </c>
      <c r="M30" s="89"/>
      <c r="N30" s="2" t="str">
        <f>IF($B30="","",COUNTIFS(Carteira!$C$5:$C$204,$B30,Carteira!$F$5:$F$204,"Validado*"))</f>
        <v/>
      </c>
    </row>
    <row r="31" spans="2:14" ht="18" customHeight="1" x14ac:dyDescent="0.3">
      <c r="B31" s="96" t="str">
        <f>IF(Listas!$H$10="","",Listas!$H$10)</f>
        <v/>
      </c>
      <c r="C31" s="96"/>
      <c r="D31" s="89" t="str">
        <f>IF($B31="","",COUNTIF(Carteira!$C$5:$C$204,$B31))</f>
        <v/>
      </c>
      <c r="E31" s="89"/>
      <c r="F31" s="89" t="str">
        <f>IF($B31="","",COUNTIFS(Carteira!$C$5:$C$204,$B31,Carteira!$N$5:$N$204,"No prazo"))</f>
        <v/>
      </c>
      <c r="G31" s="89"/>
      <c r="H31" s="89" t="str">
        <f>IF($B31="","",COUNTIFS(Carteira!$C$5:$C$204,$B31,Carteira!$N$5:$N$204,"Atenção"))</f>
        <v/>
      </c>
      <c r="I31" s="89"/>
      <c r="J31" s="89" t="str">
        <f>IF($B31="","",COUNTIFS(Carteira!$C$5:$C$204,$B31,Carteira!$N$5:$N$204,"Bloqueado"))</f>
        <v/>
      </c>
      <c r="K31" s="89"/>
      <c r="L31" s="89" t="str">
        <f>IF($B31="","",COUNTIFS(Carteira!$C$5:$C$204,$B31,Carteira!$F$5:$F$204,Listas!$B$4)+COUNTIFS(Carteira!$C$5:$C$204,$B31,Carteira!$F$5:$F$204,Listas!$B$5))</f>
        <v/>
      </c>
      <c r="M31" s="89"/>
      <c r="N31" s="2" t="str">
        <f>IF($B31="","",COUNTIFS(Carteira!$C$5:$C$204,$B31,Carteira!$F$5:$F$204,"Validado*"))</f>
        <v/>
      </c>
    </row>
    <row r="32" spans="2:14" ht="18" customHeight="1" x14ac:dyDescent="0.3">
      <c r="B32" s="96" t="str">
        <f>IF(Listas!$H$11="","",Listas!$H$11)</f>
        <v/>
      </c>
      <c r="C32" s="96"/>
      <c r="D32" s="89" t="str">
        <f>IF($B32="","",COUNTIF(Carteira!$C$5:$C$204,$B32))</f>
        <v/>
      </c>
      <c r="E32" s="89"/>
      <c r="F32" s="89" t="str">
        <f>IF($B32="","",COUNTIFS(Carteira!$C$5:$C$204,$B32,Carteira!$N$5:$N$204,"No prazo"))</f>
        <v/>
      </c>
      <c r="G32" s="89"/>
      <c r="H32" s="89" t="str">
        <f>IF($B32="","",COUNTIFS(Carteira!$C$5:$C$204,$B32,Carteira!$N$5:$N$204,"Atenção"))</f>
        <v/>
      </c>
      <c r="I32" s="89"/>
      <c r="J32" s="89" t="str">
        <f>IF($B32="","",COUNTIFS(Carteira!$C$5:$C$204,$B32,Carteira!$N$5:$N$204,"Bloqueado"))</f>
        <v/>
      </c>
      <c r="K32" s="89"/>
      <c r="L32" s="89" t="str">
        <f>IF($B32="","",COUNTIFS(Carteira!$C$5:$C$204,$B32,Carteira!$F$5:$F$204,Listas!$B$4)+COUNTIFS(Carteira!$C$5:$C$204,$B32,Carteira!$F$5:$F$204,Listas!$B$5))</f>
        <v/>
      </c>
      <c r="M32" s="89"/>
      <c r="N32" s="2" t="str">
        <f>IF($B32="","",COUNTIFS(Carteira!$C$5:$C$204,$B32,Carteira!$F$5:$F$204,"Validado*"))</f>
        <v/>
      </c>
    </row>
    <row r="33" spans="2:14" ht="18" customHeight="1" x14ac:dyDescent="0.3">
      <c r="B33" s="96" t="str">
        <f>IF(Listas!$H$12="","",Listas!$H$12)</f>
        <v/>
      </c>
      <c r="C33" s="96"/>
      <c r="D33" s="89" t="str">
        <f>IF($B33="","",COUNTIF(Carteira!$C$5:$C$204,$B33))</f>
        <v/>
      </c>
      <c r="E33" s="89"/>
      <c r="F33" s="89" t="str">
        <f>IF($B33="","",COUNTIFS(Carteira!$C$5:$C$204,$B33,Carteira!$N$5:$N$204,"No prazo"))</f>
        <v/>
      </c>
      <c r="G33" s="89"/>
      <c r="H33" s="89" t="str">
        <f>IF($B33="","",COUNTIFS(Carteira!$C$5:$C$204,$B33,Carteira!$N$5:$N$204,"Atenção"))</f>
        <v/>
      </c>
      <c r="I33" s="89"/>
      <c r="J33" s="89" t="str">
        <f>IF($B33="","",COUNTIFS(Carteira!$C$5:$C$204,$B33,Carteira!$N$5:$N$204,"Bloqueado"))</f>
        <v/>
      </c>
      <c r="K33" s="89"/>
      <c r="L33" s="89" t="str">
        <f>IF($B33="","",COUNTIFS(Carteira!$C$5:$C$204,$B33,Carteira!$F$5:$F$204,Listas!$B$4)+COUNTIFS(Carteira!$C$5:$C$204,$B33,Carteira!$F$5:$F$204,Listas!$B$5))</f>
        <v/>
      </c>
      <c r="M33" s="89"/>
      <c r="N33" s="2" t="str">
        <f>IF($B33="","",COUNTIFS(Carteira!$C$5:$C$204,$B33,Carteira!$F$5:$F$204,"Validado*"))</f>
        <v/>
      </c>
    </row>
    <row r="34" spans="2:14" ht="19.5" customHeight="1" x14ac:dyDescent="0.3">
      <c r="B34" s="92" t="s">
        <v>31</v>
      </c>
      <c r="C34" s="92"/>
      <c r="D34" s="93">
        <f>SUM(D24:D33)</f>
        <v>12</v>
      </c>
      <c r="E34" s="93"/>
      <c r="F34" s="93">
        <f>SUM(F24:F33)</f>
        <v>8</v>
      </c>
      <c r="G34" s="93"/>
      <c r="H34" s="93">
        <f>SUM(H24:H33)</f>
        <v>2</v>
      </c>
      <c r="I34" s="93"/>
      <c r="J34" s="93">
        <f>SUM(J24:J33)</f>
        <v>1</v>
      </c>
      <c r="K34" s="93"/>
      <c r="L34" s="93">
        <f>SUM(L24:L33)</f>
        <v>3</v>
      </c>
      <c r="M34" s="93"/>
      <c r="N34" s="1">
        <f>SUM(N24:N33)</f>
        <v>4</v>
      </c>
    </row>
    <row r="35" spans="2:14" ht="12" customHeight="1" x14ac:dyDescent="0.3"/>
    <row r="36" spans="2:14" ht="19.5" customHeight="1" x14ac:dyDescent="0.3">
      <c r="B36" s="86" t="s">
        <v>32</v>
      </c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</row>
    <row r="37" spans="2:14" ht="15" customHeight="1" x14ac:dyDescent="0.3">
      <c r="B37" s="94" t="s">
        <v>33</v>
      </c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</row>
    <row r="38" spans="2:14" ht="25.5" customHeight="1" x14ac:dyDescent="0.3">
      <c r="B38" s="3" t="s">
        <v>34</v>
      </c>
      <c r="C38" s="95" t="s">
        <v>35</v>
      </c>
      <c r="D38" s="95"/>
      <c r="E38" s="95" t="s">
        <v>27</v>
      </c>
      <c r="F38" s="95"/>
      <c r="G38" s="95" t="s">
        <v>36</v>
      </c>
      <c r="H38" s="95"/>
      <c r="I38" s="95" t="s">
        <v>37</v>
      </c>
      <c r="J38" s="95"/>
      <c r="K38" s="95" t="s">
        <v>38</v>
      </c>
      <c r="L38" s="95"/>
      <c r="M38" s="95"/>
      <c r="N38" s="95"/>
    </row>
    <row r="39" spans="2:14" ht="33.75" customHeight="1" x14ac:dyDescent="0.3">
      <c r="B39" s="53">
        <f>IFERROR(INDEX(Carteira!$A:$A,MOD(SMALL(Carteira!$Q$5:$Q$204,1),10000)),"")</f>
        <v>24520001</v>
      </c>
      <c r="C39" s="88" t="str">
        <f>IFERROR(INDEX(Carteira!$B:$B,MOD(SMALL(Carteira!$Q$5:$Q$204,1),10000)),"")</f>
        <v>UNITAPAJÓS</v>
      </c>
      <c r="D39" s="88"/>
      <c r="E39" s="89" t="str">
        <f>IFERROR(INDEX(Carteira!$C:$C,MOD(SMALL(Carteira!$Q$5:$Q$204,1),10000)),"")</f>
        <v>PAULO NETTO</v>
      </c>
      <c r="F39" s="89"/>
      <c r="G39" s="90" t="str">
        <f>IFERROR(INDEX(Carteira!$N:$N,MOD(SMALL(Carteira!$Q$5:$Q$204,1),10000)),"")</f>
        <v>Bloqueado</v>
      </c>
      <c r="H39" s="90"/>
      <c r="I39" s="89" t="str">
        <f ca="1">IFERROR(INDEX(Carteira!$M:$M,MOD(SMALL(Carteira!$Q$5:$Q$204,1),10000)),"")</f>
        <v>—</v>
      </c>
      <c r="J39" s="89"/>
      <c r="K39" s="91" t="str">
        <f>IFERROR(INDEX(Carteira!$O:$O,MOD(SMALL(Carteira!$Q$5:$Q$204,1),10000)),"")</f>
        <v>Assinatura do contrato, pendente de decisão do cliente: casa de comando em alvenaria ou eletrocentro. Validação do cronograma pelo PM.</v>
      </c>
      <c r="L39" s="91"/>
      <c r="M39" s="91"/>
      <c r="N39" s="91"/>
    </row>
    <row r="40" spans="2:14" ht="33.75" customHeight="1" x14ac:dyDescent="0.3">
      <c r="B40" s="53">
        <f>IFERROR(INDEX(Carteira!$A:$A,MOD(SMALL(Carteira!$Q$5:$Q$204,2),10000)),"")</f>
        <v>24470001</v>
      </c>
      <c r="C40" s="88" t="str">
        <f>IFERROR(INDEX(Carteira!$B:$B,MOD(SMALL(Carteira!$Q$5:$Q$204,2),10000)),"")</f>
        <v>EBRASIL</v>
      </c>
      <c r="D40" s="88"/>
      <c r="E40" s="89" t="str">
        <f>IFERROR(INDEX(Carteira!$C:$C,MOD(SMALL(Carteira!$Q$5:$Q$204,2),10000)),"")</f>
        <v>MATHEUS</v>
      </c>
      <c r="F40" s="89"/>
      <c r="G40" s="90" t="str">
        <f>IFERROR(INDEX(Carteira!$N:$N,MOD(SMALL(Carteira!$Q$5:$Q$204,2),10000)),"")</f>
        <v>Atenção</v>
      </c>
      <c r="H40" s="90"/>
      <c r="I40" s="89">
        <f ca="1">IFERROR(INDEX(Carteira!$M:$M,MOD(SMALL(Carteira!$Q$5:$Q$204,2),10000)),"")</f>
        <v>5</v>
      </c>
      <c r="J40" s="89"/>
      <c r="K40" s="91" t="str">
        <f>IFERROR(INDEX(Carteira!$O:$O,MOD(SMALL(Carteira!$Q$5:$Q$204,2),10000)),"")</f>
        <v>Validação do cronograma pelo PM (último envio em 02/10/2026).</v>
      </c>
      <c r="L40" s="91"/>
      <c r="M40" s="91"/>
      <c r="N40" s="91"/>
    </row>
    <row r="41" spans="2:14" ht="33.75" customHeight="1" x14ac:dyDescent="0.3">
      <c r="B41" s="53">
        <f>IFERROR(INDEX(Carteira!$A:$A,MOD(SMALL(Carteira!$Q$5:$Q$204,3),10000)),"")</f>
        <v>33840002</v>
      </c>
      <c r="C41" s="88" t="str">
        <f>IFERROR(INDEX(Carteira!$B:$B,MOD(SMALL(Carteira!$Q$5:$Q$204,3),10000)),"")</f>
        <v>UNIMETAL</v>
      </c>
      <c r="D41" s="88"/>
      <c r="E41" s="89" t="str">
        <f>IFERROR(INDEX(Carteira!$C:$C,MOD(SMALL(Carteira!$Q$5:$Q$204,3),10000)),"")</f>
        <v>JEOVANNA</v>
      </c>
      <c r="F41" s="89"/>
      <c r="G41" s="90" t="str">
        <f>IFERROR(INDEX(Carteira!$N:$N,MOD(SMALL(Carteira!$Q$5:$Q$204,3),10000)),"")</f>
        <v>Atenção</v>
      </c>
      <c r="H41" s="90"/>
      <c r="I41" s="89">
        <f ca="1">IFERROR(INDEX(Carteira!$M:$M,MOD(SMALL(Carteira!$Q$5:$Q$204,3),10000)),"")</f>
        <v>13</v>
      </c>
      <c r="J41" s="89"/>
      <c r="K41" s="91" t="str">
        <f>IFERROR(INDEX(Carteira!$O:$O,MOD(SMALL(Carteira!$Q$5:$Q$204,3),10000)),"")</f>
        <v>Retorno da PM sobre a validação do cronograma (reenviado em 24/09/2026).</v>
      </c>
      <c r="L41" s="91"/>
      <c r="M41" s="91"/>
      <c r="N41" s="91"/>
    </row>
    <row r="42" spans="2:14" ht="33.75" customHeight="1" x14ac:dyDescent="0.3">
      <c r="B42" s="53" t="str">
        <f>IFERROR(INDEX(Carteira!$A:$A,MOD(SMALL(Carteira!$Q$5:$Q$204,4),10000)),"")</f>
        <v/>
      </c>
      <c r="C42" s="88" t="str">
        <f>IFERROR(INDEX(Carteira!$B:$B,MOD(SMALL(Carteira!$Q$5:$Q$204,4),10000)),"")</f>
        <v/>
      </c>
      <c r="D42" s="88"/>
      <c r="E42" s="89" t="str">
        <f>IFERROR(INDEX(Carteira!$C:$C,MOD(SMALL(Carteira!$Q$5:$Q$204,4),10000)),"")</f>
        <v/>
      </c>
      <c r="F42" s="89"/>
      <c r="G42" s="90" t="str">
        <f>IFERROR(INDEX(Carteira!$N:$N,MOD(SMALL(Carteira!$Q$5:$Q$204,4),10000)),"")</f>
        <v/>
      </c>
      <c r="H42" s="90"/>
      <c r="I42" s="89" t="str">
        <f>IFERROR(INDEX(Carteira!$M:$M,MOD(SMALL(Carteira!$Q$5:$Q$204,4),10000)),"")</f>
        <v/>
      </c>
      <c r="J42" s="89"/>
      <c r="K42" s="91" t="str">
        <f>IFERROR(INDEX(Carteira!$O:$O,MOD(SMALL(Carteira!$Q$5:$Q$204,4),10000)),"")</f>
        <v/>
      </c>
      <c r="L42" s="91"/>
      <c r="M42" s="91"/>
      <c r="N42" s="91"/>
    </row>
    <row r="43" spans="2:14" ht="33.75" customHeight="1" x14ac:dyDescent="0.3">
      <c r="B43" s="53" t="str">
        <f>IFERROR(INDEX(Carteira!$A:$A,MOD(SMALL(Carteira!$Q$5:$Q$204,5),10000)),"")</f>
        <v/>
      </c>
      <c r="C43" s="88" t="str">
        <f>IFERROR(INDEX(Carteira!$B:$B,MOD(SMALL(Carteira!$Q$5:$Q$204,5),10000)),"")</f>
        <v/>
      </c>
      <c r="D43" s="88"/>
      <c r="E43" s="89" t="str">
        <f>IFERROR(INDEX(Carteira!$C:$C,MOD(SMALL(Carteira!$Q$5:$Q$204,5),10000)),"")</f>
        <v/>
      </c>
      <c r="F43" s="89"/>
      <c r="G43" s="90" t="str">
        <f>IFERROR(INDEX(Carteira!$N:$N,MOD(SMALL(Carteira!$Q$5:$Q$204,5),10000)),"")</f>
        <v/>
      </c>
      <c r="H43" s="90"/>
      <c r="I43" s="89" t="str">
        <f>IFERROR(INDEX(Carteira!$M:$M,MOD(SMALL(Carteira!$Q$5:$Q$204,5),10000)),"")</f>
        <v/>
      </c>
      <c r="J43" s="89"/>
      <c r="K43" s="91" t="str">
        <f>IFERROR(INDEX(Carteira!$O:$O,MOD(SMALL(Carteira!$Q$5:$Q$204,5),10000)),"")</f>
        <v/>
      </c>
      <c r="L43" s="91"/>
      <c r="M43" s="91"/>
      <c r="N43" s="91"/>
    </row>
    <row r="44" spans="2:14" ht="33.75" customHeight="1" x14ac:dyDescent="0.3">
      <c r="B44" s="53" t="str">
        <f>IFERROR(INDEX(Carteira!$A:$A,MOD(SMALL(Carteira!$Q$5:$Q$204,6),10000)),"")</f>
        <v/>
      </c>
      <c r="C44" s="88" t="str">
        <f>IFERROR(INDEX(Carteira!$B:$B,MOD(SMALL(Carteira!$Q$5:$Q$204,6),10000)),"")</f>
        <v/>
      </c>
      <c r="D44" s="88"/>
      <c r="E44" s="89" t="str">
        <f>IFERROR(INDEX(Carteira!$C:$C,MOD(SMALL(Carteira!$Q$5:$Q$204,6),10000)),"")</f>
        <v/>
      </c>
      <c r="F44" s="89"/>
      <c r="G44" s="90" t="str">
        <f>IFERROR(INDEX(Carteira!$N:$N,MOD(SMALL(Carteira!$Q$5:$Q$204,6),10000)),"")</f>
        <v/>
      </c>
      <c r="H44" s="90"/>
      <c r="I44" s="89" t="str">
        <f>IFERROR(INDEX(Carteira!$M:$M,MOD(SMALL(Carteira!$Q$5:$Q$204,6),10000)),"")</f>
        <v/>
      </c>
      <c r="J44" s="89"/>
      <c r="K44" s="91" t="str">
        <f>IFERROR(INDEX(Carteira!$O:$O,MOD(SMALL(Carteira!$Q$5:$Q$204,6),10000)),"")</f>
        <v/>
      </c>
      <c r="L44" s="91"/>
      <c r="M44" s="91"/>
      <c r="N44" s="91"/>
    </row>
    <row r="45" spans="2:14" ht="33.75" customHeight="1" x14ac:dyDescent="0.3">
      <c r="B45" s="53" t="str">
        <f>IFERROR(INDEX(Carteira!$A:$A,MOD(SMALL(Carteira!$Q$5:$Q$204,7),10000)),"")</f>
        <v/>
      </c>
      <c r="C45" s="88" t="str">
        <f>IFERROR(INDEX(Carteira!$B:$B,MOD(SMALL(Carteira!$Q$5:$Q$204,7),10000)),"")</f>
        <v/>
      </c>
      <c r="D45" s="88"/>
      <c r="E45" s="89" t="str">
        <f>IFERROR(INDEX(Carteira!$C:$C,MOD(SMALL(Carteira!$Q$5:$Q$204,7),10000)),"")</f>
        <v/>
      </c>
      <c r="F45" s="89"/>
      <c r="G45" s="90" t="str">
        <f>IFERROR(INDEX(Carteira!$N:$N,MOD(SMALL(Carteira!$Q$5:$Q$204,7),10000)),"")</f>
        <v/>
      </c>
      <c r="H45" s="90"/>
      <c r="I45" s="89" t="str">
        <f>IFERROR(INDEX(Carteira!$M:$M,MOD(SMALL(Carteira!$Q$5:$Q$204,7),10000)),"")</f>
        <v/>
      </c>
      <c r="J45" s="89"/>
      <c r="K45" s="91" t="str">
        <f>IFERROR(INDEX(Carteira!$O:$O,MOD(SMALL(Carteira!$Q$5:$Q$204,7),10000)),"")</f>
        <v/>
      </c>
      <c r="L45" s="91"/>
      <c r="M45" s="91"/>
      <c r="N45" s="91"/>
    </row>
    <row r="46" spans="2:14" ht="33.75" customHeight="1" x14ac:dyDescent="0.3">
      <c r="B46" s="53" t="str">
        <f>IFERROR(INDEX(Carteira!$A:$A,MOD(SMALL(Carteira!$Q$5:$Q$204,8),10000)),"")</f>
        <v/>
      </c>
      <c r="C46" s="88" t="str">
        <f>IFERROR(INDEX(Carteira!$B:$B,MOD(SMALL(Carteira!$Q$5:$Q$204,8),10000)),"")</f>
        <v/>
      </c>
      <c r="D46" s="88"/>
      <c r="E46" s="89" t="str">
        <f>IFERROR(INDEX(Carteira!$C:$C,MOD(SMALL(Carteira!$Q$5:$Q$204,8),10000)),"")</f>
        <v/>
      </c>
      <c r="F46" s="89"/>
      <c r="G46" s="90" t="str">
        <f>IFERROR(INDEX(Carteira!$N:$N,MOD(SMALL(Carteira!$Q$5:$Q$204,8),10000)),"")</f>
        <v/>
      </c>
      <c r="H46" s="90"/>
      <c r="I46" s="89" t="str">
        <f>IFERROR(INDEX(Carteira!$M:$M,MOD(SMALL(Carteira!$Q$5:$Q$204,8),10000)),"")</f>
        <v/>
      </c>
      <c r="J46" s="89"/>
      <c r="K46" s="91" t="str">
        <f>IFERROR(INDEX(Carteira!$O:$O,MOD(SMALL(Carteira!$Q$5:$Q$204,8),10000)),"")</f>
        <v/>
      </c>
      <c r="L46" s="91"/>
      <c r="M46" s="91"/>
      <c r="N46" s="91"/>
    </row>
    <row r="47" spans="2:14" ht="33.75" customHeight="1" x14ac:dyDescent="0.3">
      <c r="B47" s="53" t="str">
        <f>IFERROR(INDEX(Carteira!$A:$A,MOD(SMALL(Carteira!$Q$5:$Q$204,9),10000)),"")</f>
        <v/>
      </c>
      <c r="C47" s="88" t="str">
        <f>IFERROR(INDEX(Carteira!$B:$B,MOD(SMALL(Carteira!$Q$5:$Q$204,9),10000)),"")</f>
        <v/>
      </c>
      <c r="D47" s="88"/>
      <c r="E47" s="89" t="str">
        <f>IFERROR(INDEX(Carteira!$C:$C,MOD(SMALL(Carteira!$Q$5:$Q$204,9),10000)),"")</f>
        <v/>
      </c>
      <c r="F47" s="89"/>
      <c r="G47" s="90" t="str">
        <f>IFERROR(INDEX(Carteira!$N:$N,MOD(SMALL(Carteira!$Q$5:$Q$204,9),10000)),"")</f>
        <v/>
      </c>
      <c r="H47" s="90"/>
      <c r="I47" s="89" t="str">
        <f>IFERROR(INDEX(Carteira!$M:$M,MOD(SMALL(Carteira!$Q$5:$Q$204,9),10000)),"")</f>
        <v/>
      </c>
      <c r="J47" s="89"/>
      <c r="K47" s="91" t="str">
        <f>IFERROR(INDEX(Carteira!$O:$O,MOD(SMALL(Carteira!$Q$5:$Q$204,9),10000)),"")</f>
        <v/>
      </c>
      <c r="L47" s="91"/>
      <c r="M47" s="91"/>
      <c r="N47" s="91"/>
    </row>
    <row r="48" spans="2:14" ht="33.75" customHeight="1" x14ac:dyDescent="0.3">
      <c r="B48" s="53" t="str">
        <f>IFERROR(INDEX(Carteira!$A:$A,MOD(SMALL(Carteira!$Q$5:$Q$204,10),10000)),"")</f>
        <v/>
      </c>
      <c r="C48" s="88" t="str">
        <f>IFERROR(INDEX(Carteira!$B:$B,MOD(SMALL(Carteira!$Q$5:$Q$204,10),10000)),"")</f>
        <v/>
      </c>
      <c r="D48" s="88"/>
      <c r="E48" s="89" t="str">
        <f>IFERROR(INDEX(Carteira!$C:$C,MOD(SMALL(Carteira!$Q$5:$Q$204,10),10000)),"")</f>
        <v/>
      </c>
      <c r="F48" s="89"/>
      <c r="G48" s="90" t="str">
        <f>IFERROR(INDEX(Carteira!$N:$N,MOD(SMALL(Carteira!$Q$5:$Q$204,10),10000)),"")</f>
        <v/>
      </c>
      <c r="H48" s="90"/>
      <c r="I48" s="89" t="str">
        <f>IFERROR(INDEX(Carteira!$M:$M,MOD(SMALL(Carteira!$Q$5:$Q$204,10),10000)),"")</f>
        <v/>
      </c>
      <c r="J48" s="89"/>
      <c r="K48" s="91" t="str">
        <f>IFERROR(INDEX(Carteira!$O:$O,MOD(SMALL(Carteira!$Q$5:$Q$204,10),10000)),"")</f>
        <v/>
      </c>
      <c r="L48" s="91"/>
      <c r="M48" s="91"/>
      <c r="N48" s="91"/>
    </row>
    <row r="49" spans="2:14" x14ac:dyDescent="0.3">
      <c r="B49" s="85" t="str">
        <f>IF(COUNT(Carteira!$Q$5:$Q$204)=0,"Nenhuma obra com status Atenção ou Bloqueado.",IF(COUNT(Carteira!$Q$5:$Q$204)&gt;10,"+ "&amp;(COUNT(Carteira!$Q$5:$Q$204)-10)&amp;" obra(s) além das exibidas — ver aba Carteira (filtro na coluna Status).",""))</f>
        <v/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</row>
    <row r="50" spans="2:14" ht="12" customHeight="1" x14ac:dyDescent="0.3"/>
    <row r="51" spans="2:14" ht="19.5" customHeight="1" x14ac:dyDescent="0.3">
      <c r="B51" s="86" t="s">
        <v>39</v>
      </c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</row>
    <row r="52" spans="2:14" ht="18" customHeight="1" x14ac:dyDescent="0.3">
      <c r="B52" s="55" t="s">
        <v>7</v>
      </c>
      <c r="D52" s="87" t="s">
        <v>40</v>
      </c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 spans="2:14" ht="18" customHeight="1" x14ac:dyDescent="0.3">
      <c r="B53" s="56" t="s">
        <v>8</v>
      </c>
      <c r="D53" s="87" t="s">
        <v>41</v>
      </c>
      <c r="E53" s="87"/>
      <c r="F53" s="87"/>
      <c r="G53" s="87"/>
      <c r="H53" s="87"/>
      <c r="I53" s="87"/>
      <c r="J53" s="87"/>
      <c r="K53" s="87"/>
      <c r="L53" s="87"/>
      <c r="M53" s="87"/>
      <c r="N53" s="87"/>
    </row>
    <row r="54" spans="2:14" ht="18" customHeight="1" x14ac:dyDescent="0.3">
      <c r="B54" s="57" t="s">
        <v>9</v>
      </c>
      <c r="D54" s="87" t="s">
        <v>42</v>
      </c>
      <c r="E54" s="87"/>
      <c r="F54" s="87"/>
      <c r="G54" s="87"/>
      <c r="H54" s="87"/>
      <c r="I54" s="87"/>
      <c r="J54" s="87"/>
      <c r="K54" s="87"/>
      <c r="L54" s="87"/>
      <c r="M54" s="87"/>
      <c r="N54" s="87"/>
    </row>
    <row r="55" spans="2:14" ht="18" customHeight="1" x14ac:dyDescent="0.3">
      <c r="B55" s="58" t="s">
        <v>43</v>
      </c>
      <c r="D55" s="87" t="s">
        <v>44</v>
      </c>
      <c r="E55" s="87"/>
      <c r="F55" s="87"/>
      <c r="G55" s="87"/>
      <c r="H55" s="87"/>
      <c r="I55" s="87"/>
      <c r="J55" s="87"/>
      <c r="K55" s="87"/>
      <c r="L55" s="87"/>
      <c r="M55" s="87"/>
      <c r="N55" s="87"/>
    </row>
  </sheetData>
  <mergeCells count="150">
    <mergeCell ref="F2:L2"/>
    <mergeCell ref="F3:L3"/>
    <mergeCell ref="B7:N7"/>
    <mergeCell ref="B8:N8"/>
    <mergeCell ref="B13:N13"/>
    <mergeCell ref="B14:N14"/>
    <mergeCell ref="C15:C18"/>
    <mergeCell ref="E15:E18"/>
    <mergeCell ref="G15:G18"/>
    <mergeCell ref="I15:I18"/>
    <mergeCell ref="K15:K18"/>
    <mergeCell ref="M15:M18"/>
    <mergeCell ref="B19:L19"/>
    <mergeCell ref="B21:N21"/>
    <mergeCell ref="B22:N22"/>
    <mergeCell ref="B23:C23"/>
    <mergeCell ref="D23:E23"/>
    <mergeCell ref="F23:G23"/>
    <mergeCell ref="H23:I23"/>
    <mergeCell ref="J23:K23"/>
    <mergeCell ref="L23:M23"/>
    <mergeCell ref="B24:C24"/>
    <mergeCell ref="D24:E24"/>
    <mergeCell ref="F24:G24"/>
    <mergeCell ref="H24:I24"/>
    <mergeCell ref="J24:K24"/>
    <mergeCell ref="L24:M24"/>
    <mergeCell ref="B25:C25"/>
    <mergeCell ref="D25:E25"/>
    <mergeCell ref="F25:G25"/>
    <mergeCell ref="H25:I25"/>
    <mergeCell ref="J25:K25"/>
    <mergeCell ref="L25:M25"/>
    <mergeCell ref="B26:C26"/>
    <mergeCell ref="D26:E26"/>
    <mergeCell ref="F26:G26"/>
    <mergeCell ref="H26:I26"/>
    <mergeCell ref="J26:K26"/>
    <mergeCell ref="L26:M26"/>
    <mergeCell ref="B27:C27"/>
    <mergeCell ref="D27:E27"/>
    <mergeCell ref="F27:G27"/>
    <mergeCell ref="H27:I27"/>
    <mergeCell ref="J27:K27"/>
    <mergeCell ref="L27:M27"/>
    <mergeCell ref="B28:C28"/>
    <mergeCell ref="D28:E28"/>
    <mergeCell ref="F28:G28"/>
    <mergeCell ref="H28:I28"/>
    <mergeCell ref="J28:K28"/>
    <mergeCell ref="L28:M28"/>
    <mergeCell ref="B29:C29"/>
    <mergeCell ref="D29:E29"/>
    <mergeCell ref="F29:G29"/>
    <mergeCell ref="H29:I29"/>
    <mergeCell ref="J29:K29"/>
    <mergeCell ref="L29:M29"/>
    <mergeCell ref="B30:C30"/>
    <mergeCell ref="D30:E30"/>
    <mergeCell ref="F30:G30"/>
    <mergeCell ref="H30:I30"/>
    <mergeCell ref="J30:K30"/>
    <mergeCell ref="L30:M30"/>
    <mergeCell ref="B31:C31"/>
    <mergeCell ref="D31:E31"/>
    <mergeCell ref="F31:G31"/>
    <mergeCell ref="H31:I31"/>
    <mergeCell ref="J31:K31"/>
    <mergeCell ref="L31:M31"/>
    <mergeCell ref="B32:C32"/>
    <mergeCell ref="D32:E32"/>
    <mergeCell ref="F32:G32"/>
    <mergeCell ref="H32:I32"/>
    <mergeCell ref="J32:K32"/>
    <mergeCell ref="L32:M32"/>
    <mergeCell ref="B33:C33"/>
    <mergeCell ref="D33:E33"/>
    <mergeCell ref="F33:G33"/>
    <mergeCell ref="H33:I33"/>
    <mergeCell ref="J33:K33"/>
    <mergeCell ref="L33:M33"/>
    <mergeCell ref="B34:C34"/>
    <mergeCell ref="D34:E34"/>
    <mergeCell ref="F34:G34"/>
    <mergeCell ref="H34:I34"/>
    <mergeCell ref="J34:K34"/>
    <mergeCell ref="L34:M34"/>
    <mergeCell ref="B36:N36"/>
    <mergeCell ref="B37:N37"/>
    <mergeCell ref="C38:D38"/>
    <mergeCell ref="E38:F38"/>
    <mergeCell ref="G38:H38"/>
    <mergeCell ref="I38:J38"/>
    <mergeCell ref="K38:N38"/>
    <mergeCell ref="C39:D39"/>
    <mergeCell ref="E39:F39"/>
    <mergeCell ref="G39:H39"/>
    <mergeCell ref="I39:J39"/>
    <mergeCell ref="K39:N39"/>
    <mergeCell ref="C40:D40"/>
    <mergeCell ref="E40:F40"/>
    <mergeCell ref="G40:H40"/>
    <mergeCell ref="I40:J40"/>
    <mergeCell ref="K40:N40"/>
    <mergeCell ref="C41:D41"/>
    <mergeCell ref="E41:F41"/>
    <mergeCell ref="G41:H41"/>
    <mergeCell ref="I41:J41"/>
    <mergeCell ref="K41:N41"/>
    <mergeCell ref="C42:D42"/>
    <mergeCell ref="E42:F42"/>
    <mergeCell ref="G42:H42"/>
    <mergeCell ref="I42:J42"/>
    <mergeCell ref="K42:N42"/>
    <mergeCell ref="C43:D43"/>
    <mergeCell ref="E43:F43"/>
    <mergeCell ref="G43:H43"/>
    <mergeCell ref="I43:J43"/>
    <mergeCell ref="K43:N43"/>
    <mergeCell ref="C44:D44"/>
    <mergeCell ref="E44:F44"/>
    <mergeCell ref="G44:H44"/>
    <mergeCell ref="I44:J44"/>
    <mergeCell ref="K44:N44"/>
    <mergeCell ref="C45:D45"/>
    <mergeCell ref="E45:F45"/>
    <mergeCell ref="G45:H45"/>
    <mergeCell ref="I45:J45"/>
    <mergeCell ref="K45:N45"/>
    <mergeCell ref="C46:D46"/>
    <mergeCell ref="E46:F46"/>
    <mergeCell ref="G46:H46"/>
    <mergeCell ref="I46:J46"/>
    <mergeCell ref="K46:N46"/>
    <mergeCell ref="B49:N49"/>
    <mergeCell ref="B51:N51"/>
    <mergeCell ref="D52:N52"/>
    <mergeCell ref="D53:N53"/>
    <mergeCell ref="D54:N54"/>
    <mergeCell ref="D55:N55"/>
    <mergeCell ref="C47:D47"/>
    <mergeCell ref="E47:F47"/>
    <mergeCell ref="G47:H47"/>
    <mergeCell ref="I47:J47"/>
    <mergeCell ref="K47:N47"/>
    <mergeCell ref="C48:D48"/>
    <mergeCell ref="E48:F48"/>
    <mergeCell ref="G48:H48"/>
    <mergeCell ref="I48:J48"/>
    <mergeCell ref="K48:N48"/>
  </mergeCells>
  <conditionalFormatting sqref="B24:N33">
    <cfRule type="expression" dxfId="19" priority="2">
      <formula>$B24&lt;&gt;""</formula>
    </cfRule>
  </conditionalFormatting>
  <conditionalFormatting sqref="B39:N48">
    <cfRule type="expression" dxfId="18" priority="6">
      <formula>$B39&lt;&gt;""</formula>
    </cfRule>
  </conditionalFormatting>
  <conditionalFormatting sqref="G39:H48">
    <cfRule type="expression" dxfId="17" priority="7">
      <formula>$G39="No prazo"</formula>
    </cfRule>
    <cfRule type="expression" dxfId="16" priority="8">
      <formula>$G39="Atenção"</formula>
    </cfRule>
    <cfRule type="expression" dxfId="15" priority="9">
      <formula>$G39="Bloqueado"</formula>
    </cfRule>
    <cfRule type="expression" dxfId="14" priority="10">
      <formula>$G39="Não avaliado"</formula>
    </cfRule>
  </conditionalFormatting>
  <conditionalFormatting sqref="H24:I33">
    <cfRule type="expression" dxfId="13" priority="3">
      <formula>AND(ISNUMBER($H24),$H24&gt;0)</formula>
    </cfRule>
  </conditionalFormatting>
  <conditionalFormatting sqref="J24:K33">
    <cfRule type="expression" dxfId="12" priority="4">
      <formula>AND(ISNUMBER($J24),$J24&gt;0)</formula>
    </cfRule>
  </conditionalFormatting>
  <conditionalFormatting sqref="N24:N33">
    <cfRule type="expression" dxfId="11" priority="5">
      <formula>AND(ISNUMBER($N24),$N24&gt;0)</formula>
    </cfRule>
  </conditionalFormatting>
  <pageMargins left="0.4" right="0.4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66625"/>
    <pageSetUpPr fitToPage="1"/>
  </sheetPr>
  <dimension ref="A1:Q204"/>
  <sheetViews>
    <sheetView showGridLines="0" tabSelected="1" zoomScaleNormal="100" workbookViewId="0">
      <pane xSplit="2" ySplit="4" topLeftCell="C11" activePane="bottomRight" state="frozen"/>
      <selection pane="topRight" activeCell="C1" sqref="C1"/>
      <selection pane="bottomLeft" activeCell="A5" sqref="A5"/>
      <selection pane="bottomRight" activeCell="P9" sqref="P9"/>
    </sheetView>
  </sheetViews>
  <sheetFormatPr defaultColWidth="8.6640625" defaultRowHeight="14.4" x14ac:dyDescent="0.3"/>
  <cols>
    <col min="1" max="1" width="13.33203125" bestFit="1" customWidth="1"/>
    <col min="2" max="2" width="14.6640625" bestFit="1" customWidth="1"/>
    <col min="3" max="3" width="12.21875" bestFit="1" customWidth="1"/>
    <col min="4" max="4" width="21" hidden="1" customWidth="1"/>
    <col min="5" max="5" width="13.109375" bestFit="1" customWidth="1"/>
    <col min="6" max="6" width="24.44140625" bestFit="1" customWidth="1"/>
    <col min="7" max="7" width="21.6640625" bestFit="1" customWidth="1"/>
    <col min="8" max="8" width="13.44140625" bestFit="1" customWidth="1"/>
    <col min="9" max="9" width="14.5546875" bestFit="1" customWidth="1"/>
    <col min="10" max="10" width="14.44140625" bestFit="1" customWidth="1"/>
    <col min="11" max="11" width="14.44140625" hidden="1" customWidth="1"/>
    <col min="12" max="13" width="12.5546875" hidden="1" customWidth="1"/>
    <col min="14" max="14" width="10.88671875" hidden="1" customWidth="1"/>
    <col min="15" max="15" width="36.77734375" hidden="1" customWidth="1"/>
    <col min="16" max="16" width="59.33203125" bestFit="1" customWidth="1"/>
    <col min="17" max="17" width="10.21875" hidden="1" customWidth="1"/>
    <col min="18" max="19" width="20.5546875" customWidth="1"/>
  </cols>
  <sheetData>
    <row r="1" spans="1:17" ht="30" customHeight="1" x14ac:dyDescent="0.3">
      <c r="A1" s="82" t="s">
        <v>45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</row>
    <row r="2" spans="1:17" ht="19.5" customHeight="1" x14ac:dyDescent="0.3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</row>
    <row r="3" spans="1:17" ht="18" customHeight="1" x14ac:dyDescent="0.3">
      <c r="A3" s="84" t="s">
        <v>46</v>
      </c>
      <c r="B3" s="84"/>
      <c r="C3" s="84"/>
      <c r="D3" s="84"/>
      <c r="E3" s="84" t="s">
        <v>47</v>
      </c>
      <c r="F3" s="84"/>
      <c r="G3" s="84"/>
      <c r="H3" s="84"/>
      <c r="I3" s="84" t="s">
        <v>48</v>
      </c>
      <c r="J3" s="84"/>
      <c r="K3" s="84"/>
      <c r="L3" s="84" t="s">
        <v>49</v>
      </c>
      <c r="M3" s="84"/>
      <c r="N3" s="84"/>
      <c r="O3" s="84" t="s">
        <v>50</v>
      </c>
      <c r="P3" s="84"/>
    </row>
    <row r="4" spans="1:17" ht="31.5" customHeight="1" x14ac:dyDescent="0.3">
      <c r="A4" s="59" t="s">
        <v>34</v>
      </c>
      <c r="B4" s="59" t="s">
        <v>35</v>
      </c>
      <c r="C4" s="59" t="s">
        <v>27</v>
      </c>
      <c r="D4" s="59" t="s">
        <v>51</v>
      </c>
      <c r="E4" s="59" t="s">
        <v>52</v>
      </c>
      <c r="F4" s="59" t="s">
        <v>53</v>
      </c>
      <c r="G4" s="59" t="s">
        <v>54</v>
      </c>
      <c r="H4" s="59" t="s">
        <v>55</v>
      </c>
      <c r="I4" s="59" t="s">
        <v>56</v>
      </c>
      <c r="J4" s="59" t="s">
        <v>57</v>
      </c>
      <c r="K4" s="60" t="s">
        <v>58</v>
      </c>
      <c r="L4" s="60" t="s">
        <v>59</v>
      </c>
      <c r="M4" s="60" t="s">
        <v>37</v>
      </c>
      <c r="N4" s="59" t="s">
        <v>36</v>
      </c>
      <c r="O4" s="59" t="s">
        <v>38</v>
      </c>
      <c r="P4" s="59" t="s">
        <v>60</v>
      </c>
      <c r="Q4" s="60" t="s">
        <v>61</v>
      </c>
    </row>
    <row r="5" spans="1:17" ht="48" customHeight="1" x14ac:dyDescent="0.3">
      <c r="A5" s="61">
        <v>24480001</v>
      </c>
      <c r="B5" s="62" t="s">
        <v>62</v>
      </c>
      <c r="C5" s="62" t="s">
        <v>63</v>
      </c>
      <c r="D5" s="62" t="s">
        <v>64</v>
      </c>
      <c r="E5" s="63" t="s">
        <v>65</v>
      </c>
      <c r="F5" s="62" t="s">
        <v>66</v>
      </c>
      <c r="G5" s="63" t="s">
        <v>67</v>
      </c>
      <c r="H5" s="63"/>
      <c r="I5" s="64">
        <v>46398</v>
      </c>
      <c r="J5" s="63" t="s">
        <v>68</v>
      </c>
      <c r="K5" s="65">
        <f t="shared" ref="K5:K36" ca="1" si="0">IF($A5="","",IF(ISNUMBER(I5),I5-TODAY(),"—"))</f>
        <v>96</v>
      </c>
      <c r="L5" s="66" t="str">
        <f>IF($A5="","",IF(SUMPRODUCT(MAX((Histórico!$B$5:$B$1004=$A5)*Histórico!$A$5:$A$1004))=0,"—",SUMPRODUCT(MAX((Histórico!$B$5:$B$1004=$A5)*Histórico!$A$5:$A$1004))))</f>
        <v>—</v>
      </c>
      <c r="M5" s="65" t="str">
        <f t="shared" ref="M5:M36" ca="1" si="1">IF($A5="","",IF(ISNUMBER(L5),TODAY()-L5,"—"))</f>
        <v>—</v>
      </c>
      <c r="N5" s="63" t="s">
        <v>7</v>
      </c>
      <c r="O5" s="62" t="s">
        <v>69</v>
      </c>
      <c r="P5" s="62" t="s">
        <v>70</v>
      </c>
      <c r="Q5" s="67" t="str">
        <f t="shared" ref="Q5:Q36" si="2">IF(N5="Bloqueado",ROW(),IF(N5="Atenção",10000+ROW(),""))</f>
        <v/>
      </c>
    </row>
    <row r="6" spans="1:17" ht="48" customHeight="1" x14ac:dyDescent="0.3">
      <c r="A6" s="61">
        <v>24470001</v>
      </c>
      <c r="B6" s="62" t="s">
        <v>71</v>
      </c>
      <c r="C6" s="62" t="s">
        <v>72</v>
      </c>
      <c r="D6" s="62" t="s">
        <v>64</v>
      </c>
      <c r="E6" s="63" t="s">
        <v>67</v>
      </c>
      <c r="F6" s="62" t="s">
        <v>73</v>
      </c>
      <c r="G6" s="63" t="s">
        <v>67</v>
      </c>
      <c r="H6" s="63"/>
      <c r="I6" s="64">
        <v>46398</v>
      </c>
      <c r="J6" s="63" t="s">
        <v>68</v>
      </c>
      <c r="K6" s="65">
        <f t="shared" ca="1" si="0"/>
        <v>96</v>
      </c>
      <c r="L6" s="66">
        <f>IF($A6="","",IF(SUMPRODUCT(MAX((Histórico!$B$5:$B$1004=$A6)*Histórico!$A$5:$A$1004))=0,"—",SUMPRODUCT(MAX((Histórico!$B$5:$B$1004=$A6)*Histórico!$A$5:$A$1004))))</f>
        <v>46297</v>
      </c>
      <c r="M6" s="65">
        <f t="shared" ca="1" si="1"/>
        <v>5</v>
      </c>
      <c r="N6" s="63" t="s">
        <v>8</v>
      </c>
      <c r="O6" s="62" t="s">
        <v>74</v>
      </c>
      <c r="P6" s="62" t="s">
        <v>75</v>
      </c>
      <c r="Q6" s="67">
        <f t="shared" si="2"/>
        <v>10006</v>
      </c>
    </row>
    <row r="7" spans="1:17" ht="48" customHeight="1" x14ac:dyDescent="0.3">
      <c r="A7" s="61">
        <v>33900001</v>
      </c>
      <c r="B7" s="62" t="s">
        <v>76</v>
      </c>
      <c r="C7" s="62" t="s">
        <v>77</v>
      </c>
      <c r="D7" s="62" t="s">
        <v>64</v>
      </c>
      <c r="E7" s="63" t="s">
        <v>65</v>
      </c>
      <c r="F7" s="62" t="s">
        <v>87</v>
      </c>
      <c r="G7" s="63" t="s">
        <v>78</v>
      </c>
      <c r="H7" s="63" t="s">
        <v>79</v>
      </c>
      <c r="I7" s="64"/>
      <c r="J7" s="63" t="s">
        <v>67</v>
      </c>
      <c r="K7" s="65" t="str">
        <f t="shared" ca="1" si="0"/>
        <v>—</v>
      </c>
      <c r="L7" s="66" t="str">
        <f>IF($A7="","",IF(SUMPRODUCT(MAX((Histórico!$B$5:$B$1004=$A7)*Histórico!$A$5:$A$1004))=0,"—",SUMPRODUCT(MAX((Histórico!$B$5:$B$1004=$A7)*Histórico!$A$5:$A$1004))))</f>
        <v>—</v>
      </c>
      <c r="M7" s="65" t="str">
        <f t="shared" ca="1" si="1"/>
        <v>—</v>
      </c>
      <c r="N7" s="63" t="s">
        <v>7</v>
      </c>
      <c r="O7" s="62" t="s">
        <v>69</v>
      </c>
      <c r="P7" s="62" t="s">
        <v>80</v>
      </c>
      <c r="Q7" s="67" t="str">
        <f t="shared" si="2"/>
        <v/>
      </c>
    </row>
    <row r="8" spans="1:17" ht="48" customHeight="1" x14ac:dyDescent="0.3">
      <c r="A8" s="61">
        <v>33840002</v>
      </c>
      <c r="B8" s="62" t="s">
        <v>81</v>
      </c>
      <c r="C8" s="62" t="s">
        <v>77</v>
      </c>
      <c r="D8" s="62" t="s">
        <v>64</v>
      </c>
      <c r="E8" s="63" t="s">
        <v>67</v>
      </c>
      <c r="F8" s="62" t="s">
        <v>82</v>
      </c>
      <c r="G8" s="63" t="s">
        <v>67</v>
      </c>
      <c r="H8" s="63"/>
      <c r="I8" s="64"/>
      <c r="J8" s="63" t="s">
        <v>67</v>
      </c>
      <c r="K8" s="65" t="str">
        <f t="shared" ca="1" si="0"/>
        <v>—</v>
      </c>
      <c r="L8" s="66">
        <f>IF($A8="","",IF(SUMPRODUCT(MAX((Histórico!$B$5:$B$1004=$A8)*Histórico!$A$5:$A$1004))=0,"—",SUMPRODUCT(MAX((Histórico!$B$5:$B$1004=$A8)*Histórico!$A$5:$A$1004))))</f>
        <v>46289</v>
      </c>
      <c r="M8" s="65">
        <f t="shared" ca="1" si="1"/>
        <v>13</v>
      </c>
      <c r="N8" s="63" t="s">
        <v>8</v>
      </c>
      <c r="O8" s="62" t="s">
        <v>83</v>
      </c>
      <c r="P8" s="62" t="s">
        <v>84</v>
      </c>
      <c r="Q8" s="67">
        <f t="shared" si="2"/>
        <v>10008</v>
      </c>
    </row>
    <row r="9" spans="1:17" ht="48" customHeight="1" x14ac:dyDescent="0.3">
      <c r="A9" s="61">
        <v>18620005</v>
      </c>
      <c r="B9" s="62" t="s">
        <v>85</v>
      </c>
      <c r="C9" s="62" t="s">
        <v>86</v>
      </c>
      <c r="D9" s="62" t="s">
        <v>64</v>
      </c>
      <c r="E9" s="63" t="s">
        <v>65</v>
      </c>
      <c r="F9" s="62" t="s">
        <v>87</v>
      </c>
      <c r="G9" s="63" t="s">
        <v>88</v>
      </c>
      <c r="H9" s="63"/>
      <c r="I9" s="64"/>
      <c r="J9" s="63" t="s">
        <v>67</v>
      </c>
      <c r="K9" s="65" t="str">
        <f t="shared" ca="1" si="0"/>
        <v>—</v>
      </c>
      <c r="L9" s="66">
        <f>IF($A9="","",IF(SUMPRODUCT(MAX((Histórico!$B$5:$B$1004=$A9)*Histórico!$A$5:$A$1004))=0,"—",SUMPRODUCT(MAX((Histórico!$B$5:$B$1004=$A9)*Histórico!$A$5:$A$1004))))</f>
        <v>46288</v>
      </c>
      <c r="M9" s="65">
        <f t="shared" ca="1" si="1"/>
        <v>14</v>
      </c>
      <c r="N9" s="63" t="s">
        <v>7</v>
      </c>
      <c r="O9" s="62" t="s">
        <v>69</v>
      </c>
      <c r="P9" s="62" t="s">
        <v>287</v>
      </c>
      <c r="Q9" s="67" t="str">
        <f t="shared" si="2"/>
        <v/>
      </c>
    </row>
    <row r="10" spans="1:17" ht="48" customHeight="1" x14ac:dyDescent="0.3">
      <c r="A10" s="61">
        <v>18620006</v>
      </c>
      <c r="B10" s="62" t="s">
        <v>85</v>
      </c>
      <c r="C10" s="62" t="s">
        <v>86</v>
      </c>
      <c r="D10" s="62" t="s">
        <v>64</v>
      </c>
      <c r="E10" s="63" t="s">
        <v>65</v>
      </c>
      <c r="F10" s="62" t="s">
        <v>87</v>
      </c>
      <c r="G10" s="63" t="s">
        <v>88</v>
      </c>
      <c r="H10" s="63"/>
      <c r="I10" s="64"/>
      <c r="J10" s="63" t="s">
        <v>67</v>
      </c>
      <c r="K10" s="65" t="str">
        <f t="shared" ca="1" si="0"/>
        <v>—</v>
      </c>
      <c r="L10" s="66">
        <f>IF($A10="","",IF(SUMPRODUCT(MAX((Histórico!$B$5:$B$1004=$A10)*Histórico!$A$5:$A$1004))=0,"—",SUMPRODUCT(MAX((Histórico!$B$5:$B$1004=$A10)*Histórico!$A$5:$A$1004))))</f>
        <v>46288</v>
      </c>
      <c r="M10" s="65">
        <f t="shared" ca="1" si="1"/>
        <v>14</v>
      </c>
      <c r="N10" s="63" t="s">
        <v>7</v>
      </c>
      <c r="O10" s="62" t="s">
        <v>69</v>
      </c>
      <c r="P10" s="62" t="s">
        <v>287</v>
      </c>
      <c r="Q10" s="67" t="str">
        <f t="shared" si="2"/>
        <v/>
      </c>
    </row>
    <row r="11" spans="1:17" ht="48" customHeight="1" x14ac:dyDescent="0.3">
      <c r="A11" s="61">
        <v>24520001</v>
      </c>
      <c r="B11" s="62" t="s">
        <v>89</v>
      </c>
      <c r="C11" s="62" t="s">
        <v>63</v>
      </c>
      <c r="D11" s="62" t="s">
        <v>64</v>
      </c>
      <c r="E11" s="63" t="s">
        <v>90</v>
      </c>
      <c r="F11" s="62" t="s">
        <v>82</v>
      </c>
      <c r="G11" s="63" t="s">
        <v>88</v>
      </c>
      <c r="H11" s="63"/>
      <c r="I11" s="64" t="s">
        <v>91</v>
      </c>
      <c r="J11" s="63" t="s">
        <v>92</v>
      </c>
      <c r="K11" s="65" t="str">
        <f t="shared" ca="1" si="0"/>
        <v>—</v>
      </c>
      <c r="L11" s="66" t="str">
        <f>IF($A11="","",IF(SUMPRODUCT(MAX((Histórico!$B$5:$B$1004=$A11)*Histórico!$A$5:$A$1004))=0,"—",SUMPRODUCT(MAX((Histórico!$B$5:$B$1004=$A11)*Histórico!$A$5:$A$1004))))</f>
        <v>—</v>
      </c>
      <c r="M11" s="65" t="str">
        <f t="shared" ca="1" si="1"/>
        <v>—</v>
      </c>
      <c r="N11" s="63" t="s">
        <v>9</v>
      </c>
      <c r="O11" s="62" t="s">
        <v>93</v>
      </c>
      <c r="P11" s="62" t="s">
        <v>94</v>
      </c>
      <c r="Q11" s="67">
        <f t="shared" si="2"/>
        <v>11</v>
      </c>
    </row>
    <row r="12" spans="1:17" ht="48" customHeight="1" x14ac:dyDescent="0.3">
      <c r="A12" s="61">
        <v>24440001</v>
      </c>
      <c r="B12" s="62" t="s">
        <v>95</v>
      </c>
      <c r="C12" s="62" t="s">
        <v>96</v>
      </c>
      <c r="D12" s="62" t="s">
        <v>64</v>
      </c>
      <c r="E12" s="63" t="s">
        <v>67</v>
      </c>
      <c r="F12" s="62" t="s">
        <v>97</v>
      </c>
      <c r="G12" s="63" t="s">
        <v>88</v>
      </c>
      <c r="H12" s="63"/>
      <c r="I12" s="64"/>
      <c r="J12" s="63" t="s">
        <v>67</v>
      </c>
      <c r="K12" s="65" t="str">
        <f t="shared" ca="1" si="0"/>
        <v>—</v>
      </c>
      <c r="L12" s="66">
        <f>IF($A12="","",IF(SUMPRODUCT(MAX((Histórico!$B$5:$B$1004=$A12)*Histórico!$A$5:$A$1004))=0,"—",SUMPRODUCT(MAX((Histórico!$B$5:$B$1004=$A12)*Histórico!$A$5:$A$1004))))</f>
        <v>46283</v>
      </c>
      <c r="M12" s="65">
        <f t="shared" ca="1" si="1"/>
        <v>19</v>
      </c>
      <c r="N12" s="63" t="s">
        <v>7</v>
      </c>
      <c r="O12" s="62" t="s">
        <v>69</v>
      </c>
      <c r="P12" s="62" t="s">
        <v>98</v>
      </c>
      <c r="Q12" s="67" t="str">
        <f t="shared" si="2"/>
        <v/>
      </c>
    </row>
    <row r="13" spans="1:17" ht="48" customHeight="1" x14ac:dyDescent="0.3">
      <c r="A13" s="61">
        <v>24080006</v>
      </c>
      <c r="B13" s="62" t="s">
        <v>99</v>
      </c>
      <c r="C13" s="62" t="s">
        <v>86</v>
      </c>
      <c r="D13" s="62" t="s">
        <v>64</v>
      </c>
      <c r="E13" s="63" t="s">
        <v>65</v>
      </c>
      <c r="F13" s="62" t="s">
        <v>87</v>
      </c>
      <c r="G13" s="63" t="s">
        <v>88</v>
      </c>
      <c r="H13" s="63"/>
      <c r="I13" s="64"/>
      <c r="J13" s="63" t="s">
        <v>67</v>
      </c>
      <c r="K13" s="65" t="str">
        <f t="shared" ca="1" si="0"/>
        <v>—</v>
      </c>
      <c r="L13" s="66">
        <f>IF($A13="","",IF(SUMPRODUCT(MAX((Histórico!$B$5:$B$1004=$A13)*Histórico!$A$5:$A$1004))=0,"—",SUMPRODUCT(MAX((Histórico!$B$5:$B$1004=$A13)*Histórico!$A$5:$A$1004))))</f>
        <v>46288</v>
      </c>
      <c r="M13" s="65">
        <f t="shared" ca="1" si="1"/>
        <v>14</v>
      </c>
      <c r="N13" s="63" t="s">
        <v>7</v>
      </c>
      <c r="O13" s="62" t="s">
        <v>69</v>
      </c>
      <c r="P13" s="62" t="s">
        <v>100</v>
      </c>
      <c r="Q13" s="67" t="str">
        <f t="shared" si="2"/>
        <v/>
      </c>
    </row>
    <row r="14" spans="1:17" ht="48" customHeight="1" x14ac:dyDescent="0.3">
      <c r="A14" s="61">
        <v>24080005</v>
      </c>
      <c r="B14" s="62" t="s">
        <v>99</v>
      </c>
      <c r="C14" s="62" t="s">
        <v>86</v>
      </c>
      <c r="D14" s="62" t="s">
        <v>64</v>
      </c>
      <c r="E14" s="63" t="s">
        <v>65</v>
      </c>
      <c r="F14" s="62" t="s">
        <v>87</v>
      </c>
      <c r="G14" s="63" t="s">
        <v>88</v>
      </c>
      <c r="H14" s="63"/>
      <c r="I14" s="64"/>
      <c r="J14" s="63" t="s">
        <v>67</v>
      </c>
      <c r="K14" s="65" t="str">
        <f t="shared" ca="1" si="0"/>
        <v>—</v>
      </c>
      <c r="L14" s="66">
        <f>IF($A14="","",IF(SUMPRODUCT(MAX((Histórico!$B$5:$B$1004=$A14)*Histórico!$A$5:$A$1004))=0,"—",SUMPRODUCT(MAX((Histórico!$B$5:$B$1004=$A14)*Histórico!$A$5:$A$1004))))</f>
        <v>46288</v>
      </c>
      <c r="M14" s="65">
        <f t="shared" ca="1" si="1"/>
        <v>14</v>
      </c>
      <c r="N14" s="63" t="s">
        <v>7</v>
      </c>
      <c r="O14" s="62" t="s">
        <v>69</v>
      </c>
      <c r="P14" s="62" t="s">
        <v>100</v>
      </c>
      <c r="Q14" s="67" t="str">
        <f t="shared" si="2"/>
        <v/>
      </c>
    </row>
    <row r="15" spans="1:17" ht="48" customHeight="1" x14ac:dyDescent="0.3">
      <c r="A15" s="61">
        <v>33960001</v>
      </c>
      <c r="B15" s="62" t="s">
        <v>101</v>
      </c>
      <c r="C15" s="62" t="s">
        <v>96</v>
      </c>
      <c r="D15" s="62" t="s">
        <v>64</v>
      </c>
      <c r="E15" s="63" t="s">
        <v>67</v>
      </c>
      <c r="F15" s="62" t="s">
        <v>97</v>
      </c>
      <c r="G15" s="63" t="s">
        <v>88</v>
      </c>
      <c r="H15" s="63"/>
      <c r="I15" s="64"/>
      <c r="J15" s="63" t="s">
        <v>67</v>
      </c>
      <c r="K15" s="65" t="str">
        <f t="shared" ca="1" si="0"/>
        <v>—</v>
      </c>
      <c r="L15" s="66">
        <f>IF($A15="","",IF(SUMPRODUCT(MAX((Histórico!$B$5:$B$1004=$A15)*Histórico!$A$5:$A$1004))=0,"—",SUMPRODUCT(MAX((Histórico!$B$5:$B$1004=$A15)*Histórico!$A$5:$A$1004))))</f>
        <v>46288</v>
      </c>
      <c r="M15" s="65">
        <f t="shared" ca="1" si="1"/>
        <v>14</v>
      </c>
      <c r="N15" s="63" t="s">
        <v>7</v>
      </c>
      <c r="O15" s="62" t="s">
        <v>69</v>
      </c>
      <c r="P15" s="62" t="s">
        <v>102</v>
      </c>
      <c r="Q15" s="67" t="str">
        <f t="shared" si="2"/>
        <v/>
      </c>
    </row>
    <row r="16" spans="1:17" ht="48" customHeight="1" x14ac:dyDescent="0.3">
      <c r="A16" s="61">
        <v>30010034</v>
      </c>
      <c r="B16" s="62" t="s">
        <v>103</v>
      </c>
      <c r="C16" s="62" t="s">
        <v>104</v>
      </c>
      <c r="D16" s="62" t="s">
        <v>105</v>
      </c>
      <c r="E16" s="63" t="s">
        <v>65</v>
      </c>
      <c r="F16" s="62" t="s">
        <v>97</v>
      </c>
      <c r="G16" s="63" t="s">
        <v>67</v>
      </c>
      <c r="H16" s="63"/>
      <c r="I16" s="64"/>
      <c r="J16" s="63" t="s">
        <v>67</v>
      </c>
      <c r="K16" s="65" t="str">
        <f t="shared" ca="1" si="0"/>
        <v>—</v>
      </c>
      <c r="L16" s="66" t="str">
        <f>IF($A16="","",IF(SUMPRODUCT(MAX((Histórico!$B$5:$B$1004=$A16)*Histórico!$A$5:$A$1004))=0,"—",SUMPRODUCT(MAX((Histórico!$B$5:$B$1004=$A16)*Histórico!$A$5:$A$1004))))</f>
        <v>—</v>
      </c>
      <c r="M16" s="65" t="str">
        <f t="shared" ca="1" si="1"/>
        <v>—</v>
      </c>
      <c r="N16" s="63" t="s">
        <v>43</v>
      </c>
      <c r="O16" s="62" t="s">
        <v>69</v>
      </c>
      <c r="P16" s="62" t="s">
        <v>106</v>
      </c>
      <c r="Q16" s="67" t="str">
        <f t="shared" si="2"/>
        <v/>
      </c>
    </row>
    <row r="17" spans="1:17" ht="15" customHeight="1" x14ac:dyDescent="0.3">
      <c r="A17" s="61"/>
      <c r="B17" s="62"/>
      <c r="C17" s="62"/>
      <c r="D17" s="62"/>
      <c r="E17" s="63"/>
      <c r="F17" s="62"/>
      <c r="G17" s="63"/>
      <c r="H17" s="63"/>
      <c r="I17" s="64"/>
      <c r="J17" s="63"/>
      <c r="K17" s="65" t="str">
        <f t="shared" ca="1" si="0"/>
        <v/>
      </c>
      <c r="L17" s="66" t="str">
        <f>IF($A17="","",IF(SUMPRODUCT(MAX((Histórico!$B$5:$B$1004=$A17)*Histórico!$A$5:$A$1004))=0,"—",SUMPRODUCT(MAX((Histórico!$B$5:$B$1004=$A17)*Histórico!$A$5:$A$1004))))</f>
        <v/>
      </c>
      <c r="M17" s="65" t="str">
        <f t="shared" ca="1" si="1"/>
        <v/>
      </c>
      <c r="N17" s="63"/>
      <c r="O17" s="62"/>
      <c r="P17" s="62"/>
      <c r="Q17" s="67" t="str">
        <f t="shared" si="2"/>
        <v/>
      </c>
    </row>
    <row r="18" spans="1:17" ht="15" customHeight="1" x14ac:dyDescent="0.3">
      <c r="A18" s="61"/>
      <c r="B18" s="62"/>
      <c r="C18" s="62"/>
      <c r="D18" s="62"/>
      <c r="E18" s="63"/>
      <c r="F18" s="62"/>
      <c r="G18" s="63"/>
      <c r="H18" s="63"/>
      <c r="I18" s="64"/>
      <c r="J18" s="63"/>
      <c r="K18" s="65" t="str">
        <f t="shared" ca="1" si="0"/>
        <v/>
      </c>
      <c r="L18" s="66" t="str">
        <f>IF($A18="","",IF(SUMPRODUCT(MAX((Histórico!$B$5:$B$1004=$A18)*Histórico!$A$5:$A$1004))=0,"—",SUMPRODUCT(MAX((Histórico!$B$5:$B$1004=$A18)*Histórico!$A$5:$A$1004))))</f>
        <v/>
      </c>
      <c r="M18" s="65" t="str">
        <f t="shared" ca="1" si="1"/>
        <v/>
      </c>
      <c r="N18" s="63"/>
      <c r="O18" s="62"/>
      <c r="P18" s="62"/>
      <c r="Q18" s="67" t="str">
        <f t="shared" si="2"/>
        <v/>
      </c>
    </row>
    <row r="19" spans="1:17" ht="15" customHeight="1" x14ac:dyDescent="0.3">
      <c r="A19" s="61"/>
      <c r="B19" s="62"/>
      <c r="C19" s="62"/>
      <c r="D19" s="62"/>
      <c r="E19" s="63"/>
      <c r="F19" s="62"/>
      <c r="G19" s="63"/>
      <c r="H19" s="63"/>
      <c r="I19" s="64"/>
      <c r="J19" s="63"/>
      <c r="K19" s="65" t="str">
        <f t="shared" ca="1" si="0"/>
        <v/>
      </c>
      <c r="L19" s="66" t="str">
        <f>IF($A19="","",IF(SUMPRODUCT(MAX((Histórico!$B$5:$B$1004=$A19)*Histórico!$A$5:$A$1004))=0,"—",SUMPRODUCT(MAX((Histórico!$B$5:$B$1004=$A19)*Histórico!$A$5:$A$1004))))</f>
        <v/>
      </c>
      <c r="M19" s="65" t="str">
        <f t="shared" ca="1" si="1"/>
        <v/>
      </c>
      <c r="N19" s="63"/>
      <c r="O19" s="62"/>
      <c r="P19" s="62"/>
      <c r="Q19" s="67" t="str">
        <f t="shared" si="2"/>
        <v/>
      </c>
    </row>
    <row r="20" spans="1:17" ht="15" customHeight="1" x14ac:dyDescent="0.3">
      <c r="A20" s="61"/>
      <c r="B20" s="62"/>
      <c r="C20" s="62"/>
      <c r="D20" s="62"/>
      <c r="E20" s="63"/>
      <c r="F20" s="62"/>
      <c r="G20" s="63"/>
      <c r="H20" s="63"/>
      <c r="I20" s="64"/>
      <c r="J20" s="63"/>
      <c r="K20" s="65" t="str">
        <f t="shared" ca="1" si="0"/>
        <v/>
      </c>
      <c r="L20" s="66" t="str">
        <f>IF($A20="","",IF(SUMPRODUCT(MAX((Histórico!$B$5:$B$1004=$A20)*Histórico!$A$5:$A$1004))=0,"—",SUMPRODUCT(MAX((Histórico!$B$5:$B$1004=$A20)*Histórico!$A$5:$A$1004))))</f>
        <v/>
      </c>
      <c r="M20" s="65" t="str">
        <f t="shared" ca="1" si="1"/>
        <v/>
      </c>
      <c r="N20" s="63"/>
      <c r="O20" s="62"/>
      <c r="P20" s="62"/>
      <c r="Q20" s="67" t="str">
        <f t="shared" si="2"/>
        <v/>
      </c>
    </row>
    <row r="21" spans="1:17" ht="15" customHeight="1" x14ac:dyDescent="0.3">
      <c r="A21" s="61"/>
      <c r="B21" s="62"/>
      <c r="C21" s="62"/>
      <c r="D21" s="62"/>
      <c r="E21" s="63"/>
      <c r="F21" s="62"/>
      <c r="G21" s="63"/>
      <c r="H21" s="63"/>
      <c r="I21" s="64"/>
      <c r="J21" s="63"/>
      <c r="K21" s="65" t="str">
        <f t="shared" ca="1" si="0"/>
        <v/>
      </c>
      <c r="L21" s="66" t="str">
        <f>IF($A21="","",IF(SUMPRODUCT(MAX((Histórico!$B$5:$B$1004=$A21)*Histórico!$A$5:$A$1004))=0,"—",SUMPRODUCT(MAX((Histórico!$B$5:$B$1004=$A21)*Histórico!$A$5:$A$1004))))</f>
        <v/>
      </c>
      <c r="M21" s="65" t="str">
        <f t="shared" ca="1" si="1"/>
        <v/>
      </c>
      <c r="N21" s="63"/>
      <c r="O21" s="62"/>
      <c r="P21" s="62"/>
      <c r="Q21" s="67" t="str">
        <f t="shared" si="2"/>
        <v/>
      </c>
    </row>
    <row r="22" spans="1:17" ht="15" customHeight="1" x14ac:dyDescent="0.3">
      <c r="A22" s="61"/>
      <c r="B22" s="62"/>
      <c r="C22" s="62"/>
      <c r="D22" s="62"/>
      <c r="E22" s="63"/>
      <c r="F22" s="62"/>
      <c r="G22" s="63"/>
      <c r="H22" s="63"/>
      <c r="I22" s="64"/>
      <c r="J22" s="63"/>
      <c r="K22" s="65" t="str">
        <f t="shared" ca="1" si="0"/>
        <v/>
      </c>
      <c r="L22" s="66" t="str">
        <f>IF($A22="","",IF(SUMPRODUCT(MAX((Histórico!$B$5:$B$1004=$A22)*Histórico!$A$5:$A$1004))=0,"—",SUMPRODUCT(MAX((Histórico!$B$5:$B$1004=$A22)*Histórico!$A$5:$A$1004))))</f>
        <v/>
      </c>
      <c r="M22" s="65" t="str">
        <f t="shared" ca="1" si="1"/>
        <v/>
      </c>
      <c r="N22" s="63"/>
      <c r="O22" s="62"/>
      <c r="P22" s="62"/>
      <c r="Q22" s="67" t="str">
        <f t="shared" si="2"/>
        <v/>
      </c>
    </row>
    <row r="23" spans="1:17" ht="15" customHeight="1" x14ac:dyDescent="0.3">
      <c r="A23" s="61"/>
      <c r="B23" s="62"/>
      <c r="C23" s="62"/>
      <c r="D23" s="62"/>
      <c r="E23" s="63"/>
      <c r="F23" s="62"/>
      <c r="G23" s="63"/>
      <c r="H23" s="63"/>
      <c r="I23" s="64"/>
      <c r="J23" s="63"/>
      <c r="K23" s="65" t="str">
        <f t="shared" ca="1" si="0"/>
        <v/>
      </c>
      <c r="L23" s="66" t="str">
        <f>IF($A23="","",IF(SUMPRODUCT(MAX((Histórico!$B$5:$B$1004=$A23)*Histórico!$A$5:$A$1004))=0,"—",SUMPRODUCT(MAX((Histórico!$B$5:$B$1004=$A23)*Histórico!$A$5:$A$1004))))</f>
        <v/>
      </c>
      <c r="M23" s="65" t="str">
        <f t="shared" ca="1" si="1"/>
        <v/>
      </c>
      <c r="N23" s="63"/>
      <c r="O23" s="62"/>
      <c r="P23" s="62"/>
      <c r="Q23" s="67" t="str">
        <f t="shared" si="2"/>
        <v/>
      </c>
    </row>
    <row r="24" spans="1:17" ht="15" customHeight="1" x14ac:dyDescent="0.3">
      <c r="A24" s="61"/>
      <c r="B24" s="62"/>
      <c r="C24" s="62"/>
      <c r="D24" s="62"/>
      <c r="E24" s="63"/>
      <c r="F24" s="62"/>
      <c r="G24" s="63"/>
      <c r="H24" s="63"/>
      <c r="I24" s="64"/>
      <c r="J24" s="63"/>
      <c r="K24" s="65" t="str">
        <f t="shared" ca="1" si="0"/>
        <v/>
      </c>
      <c r="L24" s="66" t="str">
        <f>IF($A24="","",IF(SUMPRODUCT(MAX((Histórico!$B$5:$B$1004=$A24)*Histórico!$A$5:$A$1004))=0,"—",SUMPRODUCT(MAX((Histórico!$B$5:$B$1004=$A24)*Histórico!$A$5:$A$1004))))</f>
        <v/>
      </c>
      <c r="M24" s="65" t="str">
        <f t="shared" ca="1" si="1"/>
        <v/>
      </c>
      <c r="N24" s="63"/>
      <c r="O24" s="62"/>
      <c r="P24" s="62"/>
      <c r="Q24" s="67" t="str">
        <f t="shared" si="2"/>
        <v/>
      </c>
    </row>
    <row r="25" spans="1:17" ht="15" customHeight="1" x14ac:dyDescent="0.3">
      <c r="A25" s="61"/>
      <c r="B25" s="62"/>
      <c r="C25" s="62"/>
      <c r="D25" s="62"/>
      <c r="E25" s="63"/>
      <c r="F25" s="62"/>
      <c r="G25" s="63"/>
      <c r="H25" s="63"/>
      <c r="I25" s="64"/>
      <c r="J25" s="63"/>
      <c r="K25" s="65" t="str">
        <f t="shared" ca="1" si="0"/>
        <v/>
      </c>
      <c r="L25" s="66" t="str">
        <f>IF($A25="","",IF(SUMPRODUCT(MAX((Histórico!$B$5:$B$1004=$A25)*Histórico!$A$5:$A$1004))=0,"—",SUMPRODUCT(MAX((Histórico!$B$5:$B$1004=$A25)*Histórico!$A$5:$A$1004))))</f>
        <v/>
      </c>
      <c r="M25" s="65" t="str">
        <f t="shared" ca="1" si="1"/>
        <v/>
      </c>
      <c r="N25" s="63"/>
      <c r="O25" s="62"/>
      <c r="P25" s="62"/>
      <c r="Q25" s="67" t="str">
        <f t="shared" si="2"/>
        <v/>
      </c>
    </row>
    <row r="26" spans="1:17" ht="15" customHeight="1" x14ac:dyDescent="0.3">
      <c r="A26" s="61"/>
      <c r="B26" s="62"/>
      <c r="C26" s="62"/>
      <c r="D26" s="62"/>
      <c r="E26" s="63"/>
      <c r="F26" s="62"/>
      <c r="G26" s="63"/>
      <c r="H26" s="63"/>
      <c r="I26" s="64"/>
      <c r="J26" s="63"/>
      <c r="K26" s="65" t="str">
        <f t="shared" ca="1" si="0"/>
        <v/>
      </c>
      <c r="L26" s="66" t="str">
        <f>IF($A26="","",IF(SUMPRODUCT(MAX((Histórico!$B$5:$B$1004=$A26)*Histórico!$A$5:$A$1004))=0,"—",SUMPRODUCT(MAX((Histórico!$B$5:$B$1004=$A26)*Histórico!$A$5:$A$1004))))</f>
        <v/>
      </c>
      <c r="M26" s="65" t="str">
        <f t="shared" ca="1" si="1"/>
        <v/>
      </c>
      <c r="N26" s="63"/>
      <c r="O26" s="62"/>
      <c r="P26" s="62"/>
      <c r="Q26" s="67" t="str">
        <f t="shared" si="2"/>
        <v/>
      </c>
    </row>
    <row r="27" spans="1:17" ht="15" customHeight="1" x14ac:dyDescent="0.3">
      <c r="A27" s="61"/>
      <c r="B27" s="62"/>
      <c r="C27" s="62"/>
      <c r="D27" s="62"/>
      <c r="E27" s="63"/>
      <c r="F27" s="62"/>
      <c r="G27" s="63"/>
      <c r="H27" s="63"/>
      <c r="I27" s="64"/>
      <c r="J27" s="63"/>
      <c r="K27" s="65" t="str">
        <f t="shared" ca="1" si="0"/>
        <v/>
      </c>
      <c r="L27" s="66" t="str">
        <f>IF($A27="","",IF(SUMPRODUCT(MAX((Histórico!$B$5:$B$1004=$A27)*Histórico!$A$5:$A$1004))=0,"—",SUMPRODUCT(MAX((Histórico!$B$5:$B$1004=$A27)*Histórico!$A$5:$A$1004))))</f>
        <v/>
      </c>
      <c r="M27" s="65" t="str">
        <f t="shared" ca="1" si="1"/>
        <v/>
      </c>
      <c r="N27" s="63"/>
      <c r="O27" s="62"/>
      <c r="P27" s="62"/>
      <c r="Q27" s="67" t="str">
        <f t="shared" si="2"/>
        <v/>
      </c>
    </row>
    <row r="28" spans="1:17" ht="15" customHeight="1" x14ac:dyDescent="0.3">
      <c r="A28" s="61"/>
      <c r="B28" s="62"/>
      <c r="C28" s="62"/>
      <c r="D28" s="62"/>
      <c r="E28" s="63"/>
      <c r="F28" s="62"/>
      <c r="G28" s="63"/>
      <c r="H28" s="63"/>
      <c r="I28" s="64"/>
      <c r="J28" s="63"/>
      <c r="K28" s="65" t="str">
        <f t="shared" ca="1" si="0"/>
        <v/>
      </c>
      <c r="L28" s="66" t="str">
        <f>IF($A28="","",IF(SUMPRODUCT(MAX((Histórico!$B$5:$B$1004=$A28)*Histórico!$A$5:$A$1004))=0,"—",SUMPRODUCT(MAX((Histórico!$B$5:$B$1004=$A28)*Histórico!$A$5:$A$1004))))</f>
        <v/>
      </c>
      <c r="M28" s="65" t="str">
        <f t="shared" ca="1" si="1"/>
        <v/>
      </c>
      <c r="N28" s="63"/>
      <c r="O28" s="62"/>
      <c r="P28" s="62"/>
      <c r="Q28" s="67" t="str">
        <f t="shared" si="2"/>
        <v/>
      </c>
    </row>
    <row r="29" spans="1:17" ht="15" customHeight="1" x14ac:dyDescent="0.3">
      <c r="A29" s="61"/>
      <c r="B29" s="62"/>
      <c r="C29" s="62"/>
      <c r="D29" s="62"/>
      <c r="E29" s="63"/>
      <c r="F29" s="62"/>
      <c r="G29" s="63"/>
      <c r="H29" s="63"/>
      <c r="I29" s="64"/>
      <c r="J29" s="63"/>
      <c r="K29" s="65" t="str">
        <f t="shared" ca="1" si="0"/>
        <v/>
      </c>
      <c r="L29" s="66" t="str">
        <f>IF($A29="","",IF(SUMPRODUCT(MAX((Histórico!$B$5:$B$1004=$A29)*Histórico!$A$5:$A$1004))=0,"—",SUMPRODUCT(MAX((Histórico!$B$5:$B$1004=$A29)*Histórico!$A$5:$A$1004))))</f>
        <v/>
      </c>
      <c r="M29" s="65" t="str">
        <f t="shared" ca="1" si="1"/>
        <v/>
      </c>
      <c r="N29" s="63"/>
      <c r="O29" s="62"/>
      <c r="P29" s="62"/>
      <c r="Q29" s="67" t="str">
        <f t="shared" si="2"/>
        <v/>
      </c>
    </row>
    <row r="30" spans="1:17" ht="15" customHeight="1" x14ac:dyDescent="0.3">
      <c r="A30" s="61"/>
      <c r="B30" s="62"/>
      <c r="C30" s="62"/>
      <c r="D30" s="62"/>
      <c r="E30" s="63"/>
      <c r="F30" s="62"/>
      <c r="G30" s="63"/>
      <c r="H30" s="63"/>
      <c r="I30" s="64"/>
      <c r="J30" s="63"/>
      <c r="K30" s="65" t="str">
        <f t="shared" ca="1" si="0"/>
        <v/>
      </c>
      <c r="L30" s="66" t="str">
        <f>IF($A30="","",IF(SUMPRODUCT(MAX((Histórico!$B$5:$B$1004=$A30)*Histórico!$A$5:$A$1004))=0,"—",SUMPRODUCT(MAX((Histórico!$B$5:$B$1004=$A30)*Histórico!$A$5:$A$1004))))</f>
        <v/>
      </c>
      <c r="M30" s="65" t="str">
        <f t="shared" ca="1" si="1"/>
        <v/>
      </c>
      <c r="N30" s="63"/>
      <c r="O30" s="62"/>
      <c r="P30" s="62"/>
      <c r="Q30" s="67" t="str">
        <f t="shared" si="2"/>
        <v/>
      </c>
    </row>
    <row r="31" spans="1:17" ht="15" customHeight="1" x14ac:dyDescent="0.3">
      <c r="A31" s="61"/>
      <c r="B31" s="62"/>
      <c r="C31" s="62"/>
      <c r="D31" s="62"/>
      <c r="E31" s="63"/>
      <c r="F31" s="62"/>
      <c r="G31" s="63"/>
      <c r="H31" s="63"/>
      <c r="I31" s="64"/>
      <c r="J31" s="63"/>
      <c r="K31" s="65" t="str">
        <f t="shared" ca="1" si="0"/>
        <v/>
      </c>
      <c r="L31" s="66" t="str">
        <f>IF($A31="","",IF(SUMPRODUCT(MAX((Histórico!$B$5:$B$1004=$A31)*Histórico!$A$5:$A$1004))=0,"—",SUMPRODUCT(MAX((Histórico!$B$5:$B$1004=$A31)*Histórico!$A$5:$A$1004))))</f>
        <v/>
      </c>
      <c r="M31" s="65" t="str">
        <f t="shared" ca="1" si="1"/>
        <v/>
      </c>
      <c r="N31" s="63"/>
      <c r="O31" s="62"/>
      <c r="P31" s="62"/>
      <c r="Q31" s="67" t="str">
        <f t="shared" si="2"/>
        <v/>
      </c>
    </row>
    <row r="32" spans="1:17" ht="15" customHeight="1" x14ac:dyDescent="0.3">
      <c r="A32" s="61"/>
      <c r="B32" s="62"/>
      <c r="C32" s="62"/>
      <c r="D32" s="62"/>
      <c r="E32" s="63"/>
      <c r="F32" s="62"/>
      <c r="G32" s="63"/>
      <c r="H32" s="63"/>
      <c r="I32" s="64"/>
      <c r="J32" s="63"/>
      <c r="K32" s="65" t="str">
        <f t="shared" ca="1" si="0"/>
        <v/>
      </c>
      <c r="L32" s="66" t="str">
        <f>IF($A32="","",IF(SUMPRODUCT(MAX((Histórico!$B$5:$B$1004=$A32)*Histórico!$A$5:$A$1004))=0,"—",SUMPRODUCT(MAX((Histórico!$B$5:$B$1004=$A32)*Histórico!$A$5:$A$1004))))</f>
        <v/>
      </c>
      <c r="M32" s="65" t="str">
        <f t="shared" ca="1" si="1"/>
        <v/>
      </c>
      <c r="N32" s="63"/>
      <c r="O32" s="62"/>
      <c r="P32" s="62"/>
      <c r="Q32" s="67" t="str">
        <f t="shared" si="2"/>
        <v/>
      </c>
    </row>
    <row r="33" spans="1:17" ht="15" customHeight="1" x14ac:dyDescent="0.3">
      <c r="A33" s="61"/>
      <c r="B33" s="62"/>
      <c r="C33" s="62"/>
      <c r="D33" s="62"/>
      <c r="E33" s="63"/>
      <c r="F33" s="62"/>
      <c r="G33" s="63"/>
      <c r="H33" s="63"/>
      <c r="I33" s="64"/>
      <c r="J33" s="63"/>
      <c r="K33" s="65" t="str">
        <f t="shared" ca="1" si="0"/>
        <v/>
      </c>
      <c r="L33" s="66" t="str">
        <f>IF($A33="","",IF(SUMPRODUCT(MAX((Histórico!$B$5:$B$1004=$A33)*Histórico!$A$5:$A$1004))=0,"—",SUMPRODUCT(MAX((Histórico!$B$5:$B$1004=$A33)*Histórico!$A$5:$A$1004))))</f>
        <v/>
      </c>
      <c r="M33" s="65" t="str">
        <f t="shared" ca="1" si="1"/>
        <v/>
      </c>
      <c r="N33" s="63"/>
      <c r="O33" s="62"/>
      <c r="P33" s="62"/>
      <c r="Q33" s="67" t="str">
        <f t="shared" si="2"/>
        <v/>
      </c>
    </row>
    <row r="34" spans="1:17" ht="15" customHeight="1" x14ac:dyDescent="0.3">
      <c r="A34" s="61"/>
      <c r="B34" s="62"/>
      <c r="C34" s="62"/>
      <c r="D34" s="62"/>
      <c r="E34" s="63"/>
      <c r="F34" s="62"/>
      <c r="G34" s="63"/>
      <c r="H34" s="63"/>
      <c r="I34" s="64"/>
      <c r="J34" s="63"/>
      <c r="K34" s="65" t="str">
        <f t="shared" ca="1" si="0"/>
        <v/>
      </c>
      <c r="L34" s="66" t="str">
        <f>IF($A34="","",IF(SUMPRODUCT(MAX((Histórico!$B$5:$B$1004=$A34)*Histórico!$A$5:$A$1004))=0,"—",SUMPRODUCT(MAX((Histórico!$B$5:$B$1004=$A34)*Histórico!$A$5:$A$1004))))</f>
        <v/>
      </c>
      <c r="M34" s="65" t="str">
        <f t="shared" ca="1" si="1"/>
        <v/>
      </c>
      <c r="N34" s="63"/>
      <c r="O34" s="62"/>
      <c r="P34" s="62"/>
      <c r="Q34" s="67" t="str">
        <f t="shared" si="2"/>
        <v/>
      </c>
    </row>
    <row r="35" spans="1:17" ht="15" customHeight="1" x14ac:dyDescent="0.3">
      <c r="A35" s="61"/>
      <c r="B35" s="62"/>
      <c r="C35" s="62"/>
      <c r="D35" s="62"/>
      <c r="E35" s="63"/>
      <c r="F35" s="62"/>
      <c r="G35" s="63"/>
      <c r="H35" s="63"/>
      <c r="I35" s="64"/>
      <c r="J35" s="63"/>
      <c r="K35" s="65" t="str">
        <f t="shared" ca="1" si="0"/>
        <v/>
      </c>
      <c r="L35" s="66" t="str">
        <f>IF($A35="","",IF(SUMPRODUCT(MAX((Histórico!$B$5:$B$1004=$A35)*Histórico!$A$5:$A$1004))=0,"—",SUMPRODUCT(MAX((Histórico!$B$5:$B$1004=$A35)*Histórico!$A$5:$A$1004))))</f>
        <v/>
      </c>
      <c r="M35" s="65" t="str">
        <f t="shared" ca="1" si="1"/>
        <v/>
      </c>
      <c r="N35" s="63"/>
      <c r="O35" s="62"/>
      <c r="P35" s="62"/>
      <c r="Q35" s="67" t="str">
        <f t="shared" si="2"/>
        <v/>
      </c>
    </row>
    <row r="36" spans="1:17" ht="15" customHeight="1" x14ac:dyDescent="0.3">
      <c r="A36" s="61"/>
      <c r="B36" s="62"/>
      <c r="C36" s="62"/>
      <c r="D36" s="62"/>
      <c r="E36" s="63"/>
      <c r="F36" s="62"/>
      <c r="G36" s="63"/>
      <c r="H36" s="63"/>
      <c r="I36" s="64"/>
      <c r="J36" s="63"/>
      <c r="K36" s="65" t="str">
        <f t="shared" ca="1" si="0"/>
        <v/>
      </c>
      <c r="L36" s="66" t="str">
        <f>IF($A36="","",IF(SUMPRODUCT(MAX((Histórico!$B$5:$B$1004=$A36)*Histórico!$A$5:$A$1004))=0,"—",SUMPRODUCT(MAX((Histórico!$B$5:$B$1004=$A36)*Histórico!$A$5:$A$1004))))</f>
        <v/>
      </c>
      <c r="M36" s="65" t="str">
        <f t="shared" ca="1" si="1"/>
        <v/>
      </c>
      <c r="N36" s="63"/>
      <c r="O36" s="62"/>
      <c r="P36" s="62"/>
      <c r="Q36" s="67" t="str">
        <f t="shared" si="2"/>
        <v/>
      </c>
    </row>
    <row r="37" spans="1:17" ht="15" customHeight="1" x14ac:dyDescent="0.3">
      <c r="A37" s="61"/>
      <c r="B37" s="62"/>
      <c r="C37" s="62"/>
      <c r="D37" s="62"/>
      <c r="E37" s="63"/>
      <c r="F37" s="62"/>
      <c r="G37" s="63"/>
      <c r="H37" s="63"/>
      <c r="I37" s="64"/>
      <c r="J37" s="63"/>
      <c r="K37" s="65" t="str">
        <f t="shared" ref="K37:K68" ca="1" si="3">IF($A37="","",IF(ISNUMBER(I37),I37-TODAY(),"—"))</f>
        <v/>
      </c>
      <c r="L37" s="66" t="str">
        <f>IF($A37="","",IF(SUMPRODUCT(MAX((Histórico!$B$5:$B$1004=$A37)*Histórico!$A$5:$A$1004))=0,"—",SUMPRODUCT(MAX((Histórico!$B$5:$B$1004=$A37)*Histórico!$A$5:$A$1004))))</f>
        <v/>
      </c>
      <c r="M37" s="65" t="str">
        <f t="shared" ref="M37:M68" ca="1" si="4">IF($A37="","",IF(ISNUMBER(L37),TODAY()-L37,"—"))</f>
        <v/>
      </c>
      <c r="N37" s="63"/>
      <c r="O37" s="62"/>
      <c r="P37" s="62"/>
      <c r="Q37" s="67" t="str">
        <f t="shared" ref="Q37:Q68" si="5">IF(N37="Bloqueado",ROW(),IF(N37="Atenção",10000+ROW(),""))</f>
        <v/>
      </c>
    </row>
    <row r="38" spans="1:17" ht="15" customHeight="1" x14ac:dyDescent="0.3">
      <c r="A38" s="61"/>
      <c r="B38" s="62"/>
      <c r="C38" s="62"/>
      <c r="D38" s="62"/>
      <c r="E38" s="63"/>
      <c r="F38" s="62"/>
      <c r="G38" s="63"/>
      <c r="H38" s="63"/>
      <c r="I38" s="64"/>
      <c r="J38" s="63"/>
      <c r="K38" s="65" t="str">
        <f t="shared" ca="1" si="3"/>
        <v/>
      </c>
      <c r="L38" s="66" t="str">
        <f>IF($A38="","",IF(SUMPRODUCT(MAX((Histórico!$B$5:$B$1004=$A38)*Histórico!$A$5:$A$1004))=0,"—",SUMPRODUCT(MAX((Histórico!$B$5:$B$1004=$A38)*Histórico!$A$5:$A$1004))))</f>
        <v/>
      </c>
      <c r="M38" s="65" t="str">
        <f t="shared" ca="1" si="4"/>
        <v/>
      </c>
      <c r="N38" s="63"/>
      <c r="O38" s="62"/>
      <c r="P38" s="62"/>
      <c r="Q38" s="67" t="str">
        <f t="shared" si="5"/>
        <v/>
      </c>
    </row>
    <row r="39" spans="1:17" ht="15" customHeight="1" x14ac:dyDescent="0.3">
      <c r="A39" s="61"/>
      <c r="B39" s="62"/>
      <c r="C39" s="62"/>
      <c r="D39" s="62"/>
      <c r="E39" s="63"/>
      <c r="F39" s="62"/>
      <c r="G39" s="63"/>
      <c r="H39" s="63"/>
      <c r="I39" s="64"/>
      <c r="J39" s="63"/>
      <c r="K39" s="65" t="str">
        <f t="shared" ca="1" si="3"/>
        <v/>
      </c>
      <c r="L39" s="66" t="str">
        <f>IF($A39="","",IF(SUMPRODUCT(MAX((Histórico!$B$5:$B$1004=$A39)*Histórico!$A$5:$A$1004))=0,"—",SUMPRODUCT(MAX((Histórico!$B$5:$B$1004=$A39)*Histórico!$A$5:$A$1004))))</f>
        <v/>
      </c>
      <c r="M39" s="65" t="str">
        <f t="shared" ca="1" si="4"/>
        <v/>
      </c>
      <c r="N39" s="63"/>
      <c r="O39" s="62"/>
      <c r="P39" s="62"/>
      <c r="Q39" s="67" t="str">
        <f t="shared" si="5"/>
        <v/>
      </c>
    </row>
    <row r="40" spans="1:17" ht="15" customHeight="1" x14ac:dyDescent="0.3">
      <c r="A40" s="61"/>
      <c r="B40" s="62"/>
      <c r="C40" s="62"/>
      <c r="D40" s="62"/>
      <c r="E40" s="63"/>
      <c r="F40" s="62"/>
      <c r="G40" s="63"/>
      <c r="H40" s="63"/>
      <c r="I40" s="64"/>
      <c r="J40" s="63"/>
      <c r="K40" s="65" t="str">
        <f t="shared" ca="1" si="3"/>
        <v/>
      </c>
      <c r="L40" s="66" t="str">
        <f>IF($A40="","",IF(SUMPRODUCT(MAX((Histórico!$B$5:$B$1004=$A40)*Histórico!$A$5:$A$1004))=0,"—",SUMPRODUCT(MAX((Histórico!$B$5:$B$1004=$A40)*Histórico!$A$5:$A$1004))))</f>
        <v/>
      </c>
      <c r="M40" s="65" t="str">
        <f t="shared" ca="1" si="4"/>
        <v/>
      </c>
      <c r="N40" s="63"/>
      <c r="O40" s="62"/>
      <c r="P40" s="62"/>
      <c r="Q40" s="67" t="str">
        <f t="shared" si="5"/>
        <v/>
      </c>
    </row>
    <row r="41" spans="1:17" ht="15" customHeight="1" x14ac:dyDescent="0.3">
      <c r="A41" s="61"/>
      <c r="B41" s="62"/>
      <c r="C41" s="62"/>
      <c r="D41" s="62"/>
      <c r="E41" s="63"/>
      <c r="F41" s="62"/>
      <c r="G41" s="63"/>
      <c r="H41" s="63"/>
      <c r="I41" s="64"/>
      <c r="J41" s="63"/>
      <c r="K41" s="65" t="str">
        <f t="shared" ca="1" si="3"/>
        <v/>
      </c>
      <c r="L41" s="66" t="str">
        <f>IF($A41="","",IF(SUMPRODUCT(MAX((Histórico!$B$5:$B$1004=$A41)*Histórico!$A$5:$A$1004))=0,"—",SUMPRODUCT(MAX((Histórico!$B$5:$B$1004=$A41)*Histórico!$A$5:$A$1004))))</f>
        <v/>
      </c>
      <c r="M41" s="65" t="str">
        <f t="shared" ca="1" si="4"/>
        <v/>
      </c>
      <c r="N41" s="63"/>
      <c r="O41" s="62"/>
      <c r="P41" s="62"/>
      <c r="Q41" s="67" t="str">
        <f t="shared" si="5"/>
        <v/>
      </c>
    </row>
    <row r="42" spans="1:17" ht="15" customHeight="1" x14ac:dyDescent="0.3">
      <c r="A42" s="61"/>
      <c r="B42" s="62"/>
      <c r="C42" s="62"/>
      <c r="D42" s="62"/>
      <c r="E42" s="63"/>
      <c r="F42" s="62"/>
      <c r="G42" s="63"/>
      <c r="H42" s="63"/>
      <c r="I42" s="64"/>
      <c r="J42" s="63"/>
      <c r="K42" s="65" t="str">
        <f t="shared" ca="1" si="3"/>
        <v/>
      </c>
      <c r="L42" s="66" t="str">
        <f>IF($A42="","",IF(SUMPRODUCT(MAX((Histórico!$B$5:$B$1004=$A42)*Histórico!$A$5:$A$1004))=0,"—",SUMPRODUCT(MAX((Histórico!$B$5:$B$1004=$A42)*Histórico!$A$5:$A$1004))))</f>
        <v/>
      </c>
      <c r="M42" s="65" t="str">
        <f t="shared" ca="1" si="4"/>
        <v/>
      </c>
      <c r="N42" s="63"/>
      <c r="O42" s="62"/>
      <c r="P42" s="62"/>
      <c r="Q42" s="67" t="str">
        <f t="shared" si="5"/>
        <v/>
      </c>
    </row>
    <row r="43" spans="1:17" ht="15" customHeight="1" x14ac:dyDescent="0.3">
      <c r="A43" s="61"/>
      <c r="B43" s="62"/>
      <c r="C43" s="62"/>
      <c r="D43" s="62"/>
      <c r="E43" s="63"/>
      <c r="F43" s="62"/>
      <c r="G43" s="63"/>
      <c r="H43" s="63"/>
      <c r="I43" s="64"/>
      <c r="J43" s="63"/>
      <c r="K43" s="65" t="str">
        <f t="shared" ca="1" si="3"/>
        <v/>
      </c>
      <c r="L43" s="66" t="str">
        <f>IF($A43="","",IF(SUMPRODUCT(MAX((Histórico!$B$5:$B$1004=$A43)*Histórico!$A$5:$A$1004))=0,"—",SUMPRODUCT(MAX((Histórico!$B$5:$B$1004=$A43)*Histórico!$A$5:$A$1004))))</f>
        <v/>
      </c>
      <c r="M43" s="65" t="str">
        <f t="shared" ca="1" si="4"/>
        <v/>
      </c>
      <c r="N43" s="63"/>
      <c r="O43" s="62"/>
      <c r="P43" s="62"/>
      <c r="Q43" s="67" t="str">
        <f t="shared" si="5"/>
        <v/>
      </c>
    </row>
    <row r="44" spans="1:17" ht="15" customHeight="1" x14ac:dyDescent="0.3">
      <c r="A44" s="61"/>
      <c r="B44" s="62"/>
      <c r="C44" s="62"/>
      <c r="D44" s="62"/>
      <c r="E44" s="63"/>
      <c r="F44" s="62"/>
      <c r="G44" s="63"/>
      <c r="H44" s="63"/>
      <c r="I44" s="64"/>
      <c r="J44" s="63"/>
      <c r="K44" s="65" t="str">
        <f t="shared" ca="1" si="3"/>
        <v/>
      </c>
      <c r="L44" s="66" t="str">
        <f>IF($A44="","",IF(SUMPRODUCT(MAX((Histórico!$B$5:$B$1004=$A44)*Histórico!$A$5:$A$1004))=0,"—",SUMPRODUCT(MAX((Histórico!$B$5:$B$1004=$A44)*Histórico!$A$5:$A$1004))))</f>
        <v/>
      </c>
      <c r="M44" s="65" t="str">
        <f t="shared" ca="1" si="4"/>
        <v/>
      </c>
      <c r="N44" s="63"/>
      <c r="O44" s="62"/>
      <c r="P44" s="62"/>
      <c r="Q44" s="67" t="str">
        <f t="shared" si="5"/>
        <v/>
      </c>
    </row>
    <row r="45" spans="1:17" ht="15" customHeight="1" x14ac:dyDescent="0.3">
      <c r="A45" s="61"/>
      <c r="B45" s="62"/>
      <c r="C45" s="62"/>
      <c r="D45" s="62"/>
      <c r="E45" s="63"/>
      <c r="F45" s="62"/>
      <c r="G45" s="63"/>
      <c r="H45" s="63"/>
      <c r="I45" s="64"/>
      <c r="J45" s="63"/>
      <c r="K45" s="65" t="str">
        <f t="shared" ca="1" si="3"/>
        <v/>
      </c>
      <c r="L45" s="66" t="str">
        <f>IF($A45="","",IF(SUMPRODUCT(MAX((Histórico!$B$5:$B$1004=$A45)*Histórico!$A$5:$A$1004))=0,"—",SUMPRODUCT(MAX((Histórico!$B$5:$B$1004=$A45)*Histórico!$A$5:$A$1004))))</f>
        <v/>
      </c>
      <c r="M45" s="65" t="str">
        <f t="shared" ca="1" si="4"/>
        <v/>
      </c>
      <c r="N45" s="63"/>
      <c r="O45" s="62"/>
      <c r="P45" s="62"/>
      <c r="Q45" s="67" t="str">
        <f t="shared" si="5"/>
        <v/>
      </c>
    </row>
    <row r="46" spans="1:17" ht="15" customHeight="1" x14ac:dyDescent="0.3">
      <c r="A46" s="61"/>
      <c r="B46" s="62"/>
      <c r="C46" s="62"/>
      <c r="D46" s="62"/>
      <c r="E46" s="63"/>
      <c r="F46" s="62"/>
      <c r="G46" s="63"/>
      <c r="H46" s="63"/>
      <c r="I46" s="64"/>
      <c r="J46" s="63"/>
      <c r="K46" s="65" t="str">
        <f t="shared" ca="1" si="3"/>
        <v/>
      </c>
      <c r="L46" s="66" t="str">
        <f>IF($A46="","",IF(SUMPRODUCT(MAX((Histórico!$B$5:$B$1004=$A46)*Histórico!$A$5:$A$1004))=0,"—",SUMPRODUCT(MAX((Histórico!$B$5:$B$1004=$A46)*Histórico!$A$5:$A$1004))))</f>
        <v/>
      </c>
      <c r="M46" s="65" t="str">
        <f t="shared" ca="1" si="4"/>
        <v/>
      </c>
      <c r="N46" s="63"/>
      <c r="O46" s="62"/>
      <c r="P46" s="62"/>
      <c r="Q46" s="67" t="str">
        <f t="shared" si="5"/>
        <v/>
      </c>
    </row>
    <row r="47" spans="1:17" ht="15" customHeight="1" x14ac:dyDescent="0.3">
      <c r="A47" s="61"/>
      <c r="B47" s="62"/>
      <c r="C47" s="62"/>
      <c r="D47" s="62"/>
      <c r="E47" s="63"/>
      <c r="F47" s="62"/>
      <c r="G47" s="63"/>
      <c r="H47" s="63"/>
      <c r="I47" s="64"/>
      <c r="J47" s="63"/>
      <c r="K47" s="65" t="str">
        <f t="shared" ca="1" si="3"/>
        <v/>
      </c>
      <c r="L47" s="66" t="str">
        <f>IF($A47="","",IF(SUMPRODUCT(MAX((Histórico!$B$5:$B$1004=$A47)*Histórico!$A$5:$A$1004))=0,"—",SUMPRODUCT(MAX((Histórico!$B$5:$B$1004=$A47)*Histórico!$A$5:$A$1004))))</f>
        <v/>
      </c>
      <c r="M47" s="65" t="str">
        <f t="shared" ca="1" si="4"/>
        <v/>
      </c>
      <c r="N47" s="63"/>
      <c r="O47" s="62"/>
      <c r="P47" s="62"/>
      <c r="Q47" s="67" t="str">
        <f t="shared" si="5"/>
        <v/>
      </c>
    </row>
    <row r="48" spans="1:17" ht="15" customHeight="1" x14ac:dyDescent="0.3">
      <c r="A48" s="61"/>
      <c r="B48" s="62"/>
      <c r="C48" s="62"/>
      <c r="D48" s="62"/>
      <c r="E48" s="63"/>
      <c r="F48" s="62"/>
      <c r="G48" s="63"/>
      <c r="H48" s="63"/>
      <c r="I48" s="64"/>
      <c r="J48" s="63"/>
      <c r="K48" s="65" t="str">
        <f t="shared" ca="1" si="3"/>
        <v/>
      </c>
      <c r="L48" s="66" t="str">
        <f>IF($A48="","",IF(SUMPRODUCT(MAX((Histórico!$B$5:$B$1004=$A48)*Histórico!$A$5:$A$1004))=0,"—",SUMPRODUCT(MAX((Histórico!$B$5:$B$1004=$A48)*Histórico!$A$5:$A$1004))))</f>
        <v/>
      </c>
      <c r="M48" s="65" t="str">
        <f t="shared" ca="1" si="4"/>
        <v/>
      </c>
      <c r="N48" s="63"/>
      <c r="O48" s="62"/>
      <c r="P48" s="62"/>
      <c r="Q48" s="67" t="str">
        <f t="shared" si="5"/>
        <v/>
      </c>
    </row>
    <row r="49" spans="1:17" ht="15" customHeight="1" x14ac:dyDescent="0.3">
      <c r="A49" s="61"/>
      <c r="B49" s="62"/>
      <c r="C49" s="62"/>
      <c r="D49" s="62"/>
      <c r="E49" s="63"/>
      <c r="F49" s="62"/>
      <c r="G49" s="63"/>
      <c r="H49" s="63"/>
      <c r="I49" s="64"/>
      <c r="J49" s="63"/>
      <c r="K49" s="65" t="str">
        <f t="shared" ca="1" si="3"/>
        <v/>
      </c>
      <c r="L49" s="66" t="str">
        <f>IF($A49="","",IF(SUMPRODUCT(MAX((Histórico!$B$5:$B$1004=$A49)*Histórico!$A$5:$A$1004))=0,"—",SUMPRODUCT(MAX((Histórico!$B$5:$B$1004=$A49)*Histórico!$A$5:$A$1004))))</f>
        <v/>
      </c>
      <c r="M49" s="65" t="str">
        <f t="shared" ca="1" si="4"/>
        <v/>
      </c>
      <c r="N49" s="63"/>
      <c r="O49" s="62"/>
      <c r="P49" s="62"/>
      <c r="Q49" s="67" t="str">
        <f t="shared" si="5"/>
        <v/>
      </c>
    </row>
    <row r="50" spans="1:17" ht="15" customHeight="1" x14ac:dyDescent="0.3">
      <c r="A50" s="61"/>
      <c r="B50" s="62"/>
      <c r="C50" s="62"/>
      <c r="D50" s="62"/>
      <c r="E50" s="63"/>
      <c r="F50" s="62"/>
      <c r="G50" s="63"/>
      <c r="H50" s="63"/>
      <c r="I50" s="64"/>
      <c r="J50" s="63"/>
      <c r="K50" s="65" t="str">
        <f t="shared" ca="1" si="3"/>
        <v/>
      </c>
      <c r="L50" s="66" t="str">
        <f>IF($A50="","",IF(SUMPRODUCT(MAX((Histórico!$B$5:$B$1004=$A50)*Histórico!$A$5:$A$1004))=0,"—",SUMPRODUCT(MAX((Histórico!$B$5:$B$1004=$A50)*Histórico!$A$5:$A$1004))))</f>
        <v/>
      </c>
      <c r="M50" s="65" t="str">
        <f t="shared" ca="1" si="4"/>
        <v/>
      </c>
      <c r="N50" s="63"/>
      <c r="O50" s="62"/>
      <c r="P50" s="62"/>
      <c r="Q50" s="67" t="str">
        <f t="shared" si="5"/>
        <v/>
      </c>
    </row>
    <row r="51" spans="1:17" ht="15" customHeight="1" x14ac:dyDescent="0.3">
      <c r="A51" s="61"/>
      <c r="B51" s="62"/>
      <c r="C51" s="62"/>
      <c r="D51" s="62"/>
      <c r="E51" s="63"/>
      <c r="F51" s="62"/>
      <c r="G51" s="63"/>
      <c r="H51" s="63"/>
      <c r="I51" s="64"/>
      <c r="J51" s="63"/>
      <c r="K51" s="65" t="str">
        <f t="shared" ca="1" si="3"/>
        <v/>
      </c>
      <c r="L51" s="66" t="str">
        <f>IF($A51="","",IF(SUMPRODUCT(MAX((Histórico!$B$5:$B$1004=$A51)*Histórico!$A$5:$A$1004))=0,"—",SUMPRODUCT(MAX((Histórico!$B$5:$B$1004=$A51)*Histórico!$A$5:$A$1004))))</f>
        <v/>
      </c>
      <c r="M51" s="65" t="str">
        <f t="shared" ca="1" si="4"/>
        <v/>
      </c>
      <c r="N51" s="63"/>
      <c r="O51" s="62"/>
      <c r="P51" s="62"/>
      <c r="Q51" s="67" t="str">
        <f t="shared" si="5"/>
        <v/>
      </c>
    </row>
    <row r="52" spans="1:17" ht="15" customHeight="1" x14ac:dyDescent="0.3">
      <c r="A52" s="61"/>
      <c r="B52" s="62"/>
      <c r="C52" s="62"/>
      <c r="D52" s="62"/>
      <c r="E52" s="63"/>
      <c r="F52" s="62"/>
      <c r="G52" s="63"/>
      <c r="H52" s="63"/>
      <c r="I52" s="64"/>
      <c r="J52" s="63"/>
      <c r="K52" s="65" t="str">
        <f t="shared" ca="1" si="3"/>
        <v/>
      </c>
      <c r="L52" s="66" t="str">
        <f>IF($A52="","",IF(SUMPRODUCT(MAX((Histórico!$B$5:$B$1004=$A52)*Histórico!$A$5:$A$1004))=0,"—",SUMPRODUCT(MAX((Histórico!$B$5:$B$1004=$A52)*Histórico!$A$5:$A$1004))))</f>
        <v/>
      </c>
      <c r="M52" s="65" t="str">
        <f t="shared" ca="1" si="4"/>
        <v/>
      </c>
      <c r="N52" s="63"/>
      <c r="O52" s="62"/>
      <c r="P52" s="62"/>
      <c r="Q52" s="67" t="str">
        <f t="shared" si="5"/>
        <v/>
      </c>
    </row>
    <row r="53" spans="1:17" ht="15" customHeight="1" x14ac:dyDescent="0.3">
      <c r="A53" s="61"/>
      <c r="B53" s="62"/>
      <c r="C53" s="62"/>
      <c r="D53" s="62"/>
      <c r="E53" s="63"/>
      <c r="F53" s="62"/>
      <c r="G53" s="63"/>
      <c r="H53" s="63"/>
      <c r="I53" s="64"/>
      <c r="J53" s="63"/>
      <c r="K53" s="65" t="str">
        <f t="shared" ca="1" si="3"/>
        <v/>
      </c>
      <c r="L53" s="66" t="str">
        <f>IF($A53="","",IF(SUMPRODUCT(MAX((Histórico!$B$5:$B$1004=$A53)*Histórico!$A$5:$A$1004))=0,"—",SUMPRODUCT(MAX((Histórico!$B$5:$B$1004=$A53)*Histórico!$A$5:$A$1004))))</f>
        <v/>
      </c>
      <c r="M53" s="65" t="str">
        <f t="shared" ca="1" si="4"/>
        <v/>
      </c>
      <c r="N53" s="63"/>
      <c r="O53" s="62"/>
      <c r="P53" s="62"/>
      <c r="Q53" s="67" t="str">
        <f t="shared" si="5"/>
        <v/>
      </c>
    </row>
    <row r="54" spans="1:17" ht="15" customHeight="1" x14ac:dyDescent="0.3">
      <c r="A54" s="61"/>
      <c r="B54" s="62"/>
      <c r="C54" s="62"/>
      <c r="D54" s="62"/>
      <c r="E54" s="63"/>
      <c r="F54" s="62"/>
      <c r="G54" s="63"/>
      <c r="H54" s="63"/>
      <c r="I54" s="64"/>
      <c r="J54" s="63"/>
      <c r="K54" s="65" t="str">
        <f t="shared" ca="1" si="3"/>
        <v/>
      </c>
      <c r="L54" s="66" t="str">
        <f>IF($A54="","",IF(SUMPRODUCT(MAX((Histórico!$B$5:$B$1004=$A54)*Histórico!$A$5:$A$1004))=0,"—",SUMPRODUCT(MAX((Histórico!$B$5:$B$1004=$A54)*Histórico!$A$5:$A$1004))))</f>
        <v/>
      </c>
      <c r="M54" s="65" t="str">
        <f t="shared" ca="1" si="4"/>
        <v/>
      </c>
      <c r="N54" s="63"/>
      <c r="O54" s="62"/>
      <c r="P54" s="62"/>
      <c r="Q54" s="67" t="str">
        <f t="shared" si="5"/>
        <v/>
      </c>
    </row>
    <row r="55" spans="1:17" ht="15" customHeight="1" x14ac:dyDescent="0.3">
      <c r="A55" s="61"/>
      <c r="B55" s="62"/>
      <c r="C55" s="62"/>
      <c r="D55" s="62"/>
      <c r="E55" s="63"/>
      <c r="F55" s="62"/>
      <c r="G55" s="63"/>
      <c r="H55" s="63"/>
      <c r="I55" s="64"/>
      <c r="J55" s="63"/>
      <c r="K55" s="65" t="str">
        <f t="shared" ca="1" si="3"/>
        <v/>
      </c>
      <c r="L55" s="66" t="str">
        <f>IF($A55="","",IF(SUMPRODUCT(MAX((Histórico!$B$5:$B$1004=$A55)*Histórico!$A$5:$A$1004))=0,"—",SUMPRODUCT(MAX((Histórico!$B$5:$B$1004=$A55)*Histórico!$A$5:$A$1004))))</f>
        <v/>
      </c>
      <c r="M55" s="65" t="str">
        <f t="shared" ca="1" si="4"/>
        <v/>
      </c>
      <c r="N55" s="63"/>
      <c r="O55" s="62"/>
      <c r="P55" s="62"/>
      <c r="Q55" s="67" t="str">
        <f t="shared" si="5"/>
        <v/>
      </c>
    </row>
    <row r="56" spans="1:17" ht="15" customHeight="1" x14ac:dyDescent="0.3">
      <c r="A56" s="61"/>
      <c r="B56" s="62"/>
      <c r="C56" s="62"/>
      <c r="D56" s="62"/>
      <c r="E56" s="63"/>
      <c r="F56" s="62"/>
      <c r="G56" s="63"/>
      <c r="H56" s="63"/>
      <c r="I56" s="64"/>
      <c r="J56" s="63"/>
      <c r="K56" s="65" t="str">
        <f t="shared" ca="1" si="3"/>
        <v/>
      </c>
      <c r="L56" s="66" t="str">
        <f>IF($A56="","",IF(SUMPRODUCT(MAX((Histórico!$B$5:$B$1004=$A56)*Histórico!$A$5:$A$1004))=0,"—",SUMPRODUCT(MAX((Histórico!$B$5:$B$1004=$A56)*Histórico!$A$5:$A$1004))))</f>
        <v/>
      </c>
      <c r="M56" s="65" t="str">
        <f t="shared" ca="1" si="4"/>
        <v/>
      </c>
      <c r="N56" s="63"/>
      <c r="O56" s="62"/>
      <c r="P56" s="62"/>
      <c r="Q56" s="67" t="str">
        <f t="shared" si="5"/>
        <v/>
      </c>
    </row>
    <row r="57" spans="1:17" ht="15" customHeight="1" x14ac:dyDescent="0.3">
      <c r="A57" s="61"/>
      <c r="B57" s="62"/>
      <c r="C57" s="62"/>
      <c r="D57" s="62"/>
      <c r="E57" s="63"/>
      <c r="F57" s="62"/>
      <c r="G57" s="63"/>
      <c r="H57" s="63"/>
      <c r="I57" s="64"/>
      <c r="J57" s="63"/>
      <c r="K57" s="65" t="str">
        <f t="shared" ca="1" si="3"/>
        <v/>
      </c>
      <c r="L57" s="66" t="str">
        <f>IF($A57="","",IF(SUMPRODUCT(MAX((Histórico!$B$5:$B$1004=$A57)*Histórico!$A$5:$A$1004))=0,"—",SUMPRODUCT(MAX((Histórico!$B$5:$B$1004=$A57)*Histórico!$A$5:$A$1004))))</f>
        <v/>
      </c>
      <c r="M57" s="65" t="str">
        <f t="shared" ca="1" si="4"/>
        <v/>
      </c>
      <c r="N57" s="63"/>
      <c r="O57" s="62"/>
      <c r="P57" s="62"/>
      <c r="Q57" s="67" t="str">
        <f t="shared" si="5"/>
        <v/>
      </c>
    </row>
    <row r="58" spans="1:17" ht="15" customHeight="1" x14ac:dyDescent="0.3">
      <c r="A58" s="61"/>
      <c r="B58" s="62"/>
      <c r="C58" s="62"/>
      <c r="D58" s="62"/>
      <c r="E58" s="63"/>
      <c r="F58" s="62"/>
      <c r="G58" s="63"/>
      <c r="H58" s="63"/>
      <c r="I58" s="64"/>
      <c r="J58" s="63"/>
      <c r="K58" s="65" t="str">
        <f t="shared" ca="1" si="3"/>
        <v/>
      </c>
      <c r="L58" s="66" t="str">
        <f>IF($A58="","",IF(SUMPRODUCT(MAX((Histórico!$B$5:$B$1004=$A58)*Histórico!$A$5:$A$1004))=0,"—",SUMPRODUCT(MAX((Histórico!$B$5:$B$1004=$A58)*Histórico!$A$5:$A$1004))))</f>
        <v/>
      </c>
      <c r="M58" s="65" t="str">
        <f t="shared" ca="1" si="4"/>
        <v/>
      </c>
      <c r="N58" s="63"/>
      <c r="O58" s="62"/>
      <c r="P58" s="62"/>
      <c r="Q58" s="67" t="str">
        <f t="shared" si="5"/>
        <v/>
      </c>
    </row>
    <row r="59" spans="1:17" ht="15" customHeight="1" x14ac:dyDescent="0.3">
      <c r="A59" s="61"/>
      <c r="B59" s="62"/>
      <c r="C59" s="62"/>
      <c r="D59" s="62"/>
      <c r="E59" s="63"/>
      <c r="F59" s="62"/>
      <c r="G59" s="63"/>
      <c r="H59" s="63"/>
      <c r="I59" s="64"/>
      <c r="J59" s="63"/>
      <c r="K59" s="65" t="str">
        <f t="shared" ca="1" si="3"/>
        <v/>
      </c>
      <c r="L59" s="66" t="str">
        <f>IF($A59="","",IF(SUMPRODUCT(MAX((Histórico!$B$5:$B$1004=$A59)*Histórico!$A$5:$A$1004))=0,"—",SUMPRODUCT(MAX((Histórico!$B$5:$B$1004=$A59)*Histórico!$A$5:$A$1004))))</f>
        <v/>
      </c>
      <c r="M59" s="65" t="str">
        <f t="shared" ca="1" si="4"/>
        <v/>
      </c>
      <c r="N59" s="63"/>
      <c r="O59" s="62"/>
      <c r="P59" s="62"/>
      <c r="Q59" s="67" t="str">
        <f t="shared" si="5"/>
        <v/>
      </c>
    </row>
    <row r="60" spans="1:17" ht="15" customHeight="1" x14ac:dyDescent="0.3">
      <c r="A60" s="61"/>
      <c r="B60" s="62"/>
      <c r="C60" s="62"/>
      <c r="D60" s="62"/>
      <c r="E60" s="63"/>
      <c r="F60" s="62"/>
      <c r="G60" s="63"/>
      <c r="H60" s="63"/>
      <c r="I60" s="64"/>
      <c r="J60" s="63"/>
      <c r="K60" s="65" t="str">
        <f t="shared" ca="1" si="3"/>
        <v/>
      </c>
      <c r="L60" s="66" t="str">
        <f>IF($A60="","",IF(SUMPRODUCT(MAX((Histórico!$B$5:$B$1004=$A60)*Histórico!$A$5:$A$1004))=0,"—",SUMPRODUCT(MAX((Histórico!$B$5:$B$1004=$A60)*Histórico!$A$5:$A$1004))))</f>
        <v/>
      </c>
      <c r="M60" s="65" t="str">
        <f t="shared" ca="1" si="4"/>
        <v/>
      </c>
      <c r="N60" s="63"/>
      <c r="O60" s="62"/>
      <c r="P60" s="62"/>
      <c r="Q60" s="67" t="str">
        <f t="shared" si="5"/>
        <v/>
      </c>
    </row>
    <row r="61" spans="1:17" ht="15" customHeight="1" x14ac:dyDescent="0.3">
      <c r="A61" s="61"/>
      <c r="B61" s="62"/>
      <c r="C61" s="62"/>
      <c r="D61" s="62"/>
      <c r="E61" s="63"/>
      <c r="F61" s="62"/>
      <c r="G61" s="63"/>
      <c r="H61" s="63"/>
      <c r="I61" s="64"/>
      <c r="J61" s="63"/>
      <c r="K61" s="65" t="str">
        <f t="shared" ca="1" si="3"/>
        <v/>
      </c>
      <c r="L61" s="66" t="str">
        <f>IF($A61="","",IF(SUMPRODUCT(MAX((Histórico!$B$5:$B$1004=$A61)*Histórico!$A$5:$A$1004))=0,"—",SUMPRODUCT(MAX((Histórico!$B$5:$B$1004=$A61)*Histórico!$A$5:$A$1004))))</f>
        <v/>
      </c>
      <c r="M61" s="65" t="str">
        <f t="shared" ca="1" si="4"/>
        <v/>
      </c>
      <c r="N61" s="63"/>
      <c r="O61" s="62"/>
      <c r="P61" s="62"/>
      <c r="Q61" s="67" t="str">
        <f t="shared" si="5"/>
        <v/>
      </c>
    </row>
    <row r="62" spans="1:17" ht="15" customHeight="1" x14ac:dyDescent="0.3">
      <c r="A62" s="61"/>
      <c r="B62" s="62"/>
      <c r="C62" s="62"/>
      <c r="D62" s="62"/>
      <c r="E62" s="63"/>
      <c r="F62" s="62"/>
      <c r="G62" s="63"/>
      <c r="H62" s="63"/>
      <c r="I62" s="64"/>
      <c r="J62" s="63"/>
      <c r="K62" s="65" t="str">
        <f t="shared" ca="1" si="3"/>
        <v/>
      </c>
      <c r="L62" s="66" t="str">
        <f>IF($A62="","",IF(SUMPRODUCT(MAX((Histórico!$B$5:$B$1004=$A62)*Histórico!$A$5:$A$1004))=0,"—",SUMPRODUCT(MAX((Histórico!$B$5:$B$1004=$A62)*Histórico!$A$5:$A$1004))))</f>
        <v/>
      </c>
      <c r="M62" s="65" t="str">
        <f t="shared" ca="1" si="4"/>
        <v/>
      </c>
      <c r="N62" s="63"/>
      <c r="O62" s="62"/>
      <c r="P62" s="62"/>
      <c r="Q62" s="67" t="str">
        <f t="shared" si="5"/>
        <v/>
      </c>
    </row>
    <row r="63" spans="1:17" ht="15" customHeight="1" x14ac:dyDescent="0.3">
      <c r="A63" s="61"/>
      <c r="B63" s="62"/>
      <c r="C63" s="62"/>
      <c r="D63" s="62"/>
      <c r="E63" s="63"/>
      <c r="F63" s="62"/>
      <c r="G63" s="63"/>
      <c r="H63" s="63"/>
      <c r="I63" s="64"/>
      <c r="J63" s="63"/>
      <c r="K63" s="65" t="str">
        <f t="shared" ca="1" si="3"/>
        <v/>
      </c>
      <c r="L63" s="66" t="str">
        <f>IF($A63="","",IF(SUMPRODUCT(MAX((Histórico!$B$5:$B$1004=$A63)*Histórico!$A$5:$A$1004))=0,"—",SUMPRODUCT(MAX((Histórico!$B$5:$B$1004=$A63)*Histórico!$A$5:$A$1004))))</f>
        <v/>
      </c>
      <c r="M63" s="65" t="str">
        <f t="shared" ca="1" si="4"/>
        <v/>
      </c>
      <c r="N63" s="63"/>
      <c r="O63" s="62"/>
      <c r="P63" s="62"/>
      <c r="Q63" s="67" t="str">
        <f t="shared" si="5"/>
        <v/>
      </c>
    </row>
    <row r="64" spans="1:17" ht="15" customHeight="1" x14ac:dyDescent="0.3">
      <c r="A64" s="61"/>
      <c r="B64" s="62"/>
      <c r="C64" s="62"/>
      <c r="D64" s="62"/>
      <c r="E64" s="63"/>
      <c r="F64" s="62"/>
      <c r="G64" s="63"/>
      <c r="H64" s="63"/>
      <c r="I64" s="64"/>
      <c r="J64" s="63"/>
      <c r="K64" s="65" t="str">
        <f t="shared" ca="1" si="3"/>
        <v/>
      </c>
      <c r="L64" s="66" t="str">
        <f>IF($A64="","",IF(SUMPRODUCT(MAX((Histórico!$B$5:$B$1004=$A64)*Histórico!$A$5:$A$1004))=0,"—",SUMPRODUCT(MAX((Histórico!$B$5:$B$1004=$A64)*Histórico!$A$5:$A$1004))))</f>
        <v/>
      </c>
      <c r="M64" s="65" t="str">
        <f t="shared" ca="1" si="4"/>
        <v/>
      </c>
      <c r="N64" s="63"/>
      <c r="O64" s="62"/>
      <c r="P64" s="62"/>
      <c r="Q64" s="67" t="str">
        <f t="shared" si="5"/>
        <v/>
      </c>
    </row>
    <row r="65" spans="1:17" ht="15" customHeight="1" x14ac:dyDescent="0.3">
      <c r="A65" s="61"/>
      <c r="B65" s="62"/>
      <c r="C65" s="62"/>
      <c r="D65" s="62"/>
      <c r="E65" s="63"/>
      <c r="F65" s="62"/>
      <c r="G65" s="63"/>
      <c r="H65" s="63"/>
      <c r="I65" s="64"/>
      <c r="J65" s="63"/>
      <c r="K65" s="65" t="str">
        <f t="shared" ca="1" si="3"/>
        <v/>
      </c>
      <c r="L65" s="66" t="str">
        <f>IF($A65="","",IF(SUMPRODUCT(MAX((Histórico!$B$5:$B$1004=$A65)*Histórico!$A$5:$A$1004))=0,"—",SUMPRODUCT(MAX((Histórico!$B$5:$B$1004=$A65)*Histórico!$A$5:$A$1004))))</f>
        <v/>
      </c>
      <c r="M65" s="65" t="str">
        <f t="shared" ca="1" si="4"/>
        <v/>
      </c>
      <c r="N65" s="63"/>
      <c r="O65" s="62"/>
      <c r="P65" s="62"/>
      <c r="Q65" s="67" t="str">
        <f t="shared" si="5"/>
        <v/>
      </c>
    </row>
    <row r="66" spans="1:17" ht="15" customHeight="1" x14ac:dyDescent="0.3">
      <c r="A66" s="61"/>
      <c r="B66" s="62"/>
      <c r="C66" s="62"/>
      <c r="D66" s="62"/>
      <c r="E66" s="63"/>
      <c r="F66" s="62"/>
      <c r="G66" s="63"/>
      <c r="H66" s="63"/>
      <c r="I66" s="64"/>
      <c r="J66" s="63"/>
      <c r="K66" s="65" t="str">
        <f t="shared" ca="1" si="3"/>
        <v/>
      </c>
      <c r="L66" s="66" t="str">
        <f>IF($A66="","",IF(SUMPRODUCT(MAX((Histórico!$B$5:$B$1004=$A66)*Histórico!$A$5:$A$1004))=0,"—",SUMPRODUCT(MAX((Histórico!$B$5:$B$1004=$A66)*Histórico!$A$5:$A$1004))))</f>
        <v/>
      </c>
      <c r="M66" s="65" t="str">
        <f t="shared" ca="1" si="4"/>
        <v/>
      </c>
      <c r="N66" s="63"/>
      <c r="O66" s="62"/>
      <c r="P66" s="62"/>
      <c r="Q66" s="67" t="str">
        <f t="shared" si="5"/>
        <v/>
      </c>
    </row>
    <row r="67" spans="1:17" ht="15" customHeight="1" x14ac:dyDescent="0.3">
      <c r="A67" s="61"/>
      <c r="B67" s="62"/>
      <c r="C67" s="62"/>
      <c r="D67" s="62"/>
      <c r="E67" s="63"/>
      <c r="F67" s="62"/>
      <c r="G67" s="63"/>
      <c r="H67" s="63"/>
      <c r="I67" s="64"/>
      <c r="J67" s="63"/>
      <c r="K67" s="65" t="str">
        <f t="shared" ca="1" si="3"/>
        <v/>
      </c>
      <c r="L67" s="66" t="str">
        <f>IF($A67="","",IF(SUMPRODUCT(MAX((Histórico!$B$5:$B$1004=$A67)*Histórico!$A$5:$A$1004))=0,"—",SUMPRODUCT(MAX((Histórico!$B$5:$B$1004=$A67)*Histórico!$A$5:$A$1004))))</f>
        <v/>
      </c>
      <c r="M67" s="65" t="str">
        <f t="shared" ca="1" si="4"/>
        <v/>
      </c>
      <c r="N67" s="63"/>
      <c r="O67" s="62"/>
      <c r="P67" s="62"/>
      <c r="Q67" s="67" t="str">
        <f t="shared" si="5"/>
        <v/>
      </c>
    </row>
    <row r="68" spans="1:17" ht="15" customHeight="1" x14ac:dyDescent="0.3">
      <c r="A68" s="61"/>
      <c r="B68" s="62"/>
      <c r="C68" s="62"/>
      <c r="D68" s="62"/>
      <c r="E68" s="63"/>
      <c r="F68" s="62"/>
      <c r="G68" s="63"/>
      <c r="H68" s="63"/>
      <c r="I68" s="64"/>
      <c r="J68" s="63"/>
      <c r="K68" s="65" t="str">
        <f t="shared" ca="1" si="3"/>
        <v/>
      </c>
      <c r="L68" s="66" t="str">
        <f>IF($A68="","",IF(SUMPRODUCT(MAX((Histórico!$B$5:$B$1004=$A68)*Histórico!$A$5:$A$1004))=0,"—",SUMPRODUCT(MAX((Histórico!$B$5:$B$1004=$A68)*Histórico!$A$5:$A$1004))))</f>
        <v/>
      </c>
      <c r="M68" s="65" t="str">
        <f t="shared" ca="1" si="4"/>
        <v/>
      </c>
      <c r="N68" s="63"/>
      <c r="O68" s="62"/>
      <c r="P68" s="62"/>
      <c r="Q68" s="67" t="str">
        <f t="shared" si="5"/>
        <v/>
      </c>
    </row>
    <row r="69" spans="1:17" ht="15" customHeight="1" x14ac:dyDescent="0.3">
      <c r="A69" s="61"/>
      <c r="B69" s="62"/>
      <c r="C69" s="62"/>
      <c r="D69" s="62"/>
      <c r="E69" s="63"/>
      <c r="F69" s="62"/>
      <c r="G69" s="63"/>
      <c r="H69" s="63"/>
      <c r="I69" s="64"/>
      <c r="J69" s="63"/>
      <c r="K69" s="65" t="str">
        <f t="shared" ref="K69:K100" ca="1" si="6">IF($A69="","",IF(ISNUMBER(I69),I69-TODAY(),"—"))</f>
        <v/>
      </c>
      <c r="L69" s="66" t="str">
        <f>IF($A69="","",IF(SUMPRODUCT(MAX((Histórico!$B$5:$B$1004=$A69)*Histórico!$A$5:$A$1004))=0,"—",SUMPRODUCT(MAX((Histórico!$B$5:$B$1004=$A69)*Histórico!$A$5:$A$1004))))</f>
        <v/>
      </c>
      <c r="M69" s="65" t="str">
        <f t="shared" ref="M69:M100" ca="1" si="7">IF($A69="","",IF(ISNUMBER(L69),TODAY()-L69,"—"))</f>
        <v/>
      </c>
      <c r="N69" s="63"/>
      <c r="O69" s="62"/>
      <c r="P69" s="62"/>
      <c r="Q69" s="67" t="str">
        <f t="shared" ref="Q69:Q100" si="8">IF(N69="Bloqueado",ROW(),IF(N69="Atenção",10000+ROW(),""))</f>
        <v/>
      </c>
    </row>
    <row r="70" spans="1:17" ht="15" customHeight="1" x14ac:dyDescent="0.3">
      <c r="A70" s="61"/>
      <c r="B70" s="62"/>
      <c r="C70" s="62"/>
      <c r="D70" s="62"/>
      <c r="E70" s="63"/>
      <c r="F70" s="62"/>
      <c r="G70" s="63"/>
      <c r="H70" s="63"/>
      <c r="I70" s="64"/>
      <c r="J70" s="63"/>
      <c r="K70" s="65" t="str">
        <f t="shared" ca="1" si="6"/>
        <v/>
      </c>
      <c r="L70" s="66" t="str">
        <f>IF($A70="","",IF(SUMPRODUCT(MAX((Histórico!$B$5:$B$1004=$A70)*Histórico!$A$5:$A$1004))=0,"—",SUMPRODUCT(MAX((Histórico!$B$5:$B$1004=$A70)*Histórico!$A$5:$A$1004))))</f>
        <v/>
      </c>
      <c r="M70" s="65" t="str">
        <f t="shared" ca="1" si="7"/>
        <v/>
      </c>
      <c r="N70" s="63"/>
      <c r="O70" s="62"/>
      <c r="P70" s="62"/>
      <c r="Q70" s="67" t="str">
        <f t="shared" si="8"/>
        <v/>
      </c>
    </row>
    <row r="71" spans="1:17" ht="15" customHeight="1" x14ac:dyDescent="0.3">
      <c r="A71" s="61"/>
      <c r="B71" s="62"/>
      <c r="C71" s="62"/>
      <c r="D71" s="62"/>
      <c r="E71" s="63"/>
      <c r="F71" s="62"/>
      <c r="G71" s="63"/>
      <c r="H71" s="63"/>
      <c r="I71" s="64"/>
      <c r="J71" s="63"/>
      <c r="K71" s="65" t="str">
        <f t="shared" ca="1" si="6"/>
        <v/>
      </c>
      <c r="L71" s="66" t="str">
        <f>IF($A71="","",IF(SUMPRODUCT(MAX((Histórico!$B$5:$B$1004=$A71)*Histórico!$A$5:$A$1004))=0,"—",SUMPRODUCT(MAX((Histórico!$B$5:$B$1004=$A71)*Histórico!$A$5:$A$1004))))</f>
        <v/>
      </c>
      <c r="M71" s="65" t="str">
        <f t="shared" ca="1" si="7"/>
        <v/>
      </c>
      <c r="N71" s="63"/>
      <c r="O71" s="62"/>
      <c r="P71" s="62"/>
      <c r="Q71" s="67" t="str">
        <f t="shared" si="8"/>
        <v/>
      </c>
    </row>
    <row r="72" spans="1:17" ht="15" customHeight="1" x14ac:dyDescent="0.3">
      <c r="A72" s="61"/>
      <c r="B72" s="62"/>
      <c r="C72" s="62"/>
      <c r="D72" s="62"/>
      <c r="E72" s="63"/>
      <c r="F72" s="62"/>
      <c r="G72" s="63"/>
      <c r="H72" s="63"/>
      <c r="I72" s="64"/>
      <c r="J72" s="63"/>
      <c r="K72" s="65" t="str">
        <f t="shared" ca="1" si="6"/>
        <v/>
      </c>
      <c r="L72" s="66" t="str">
        <f>IF($A72="","",IF(SUMPRODUCT(MAX((Histórico!$B$5:$B$1004=$A72)*Histórico!$A$5:$A$1004))=0,"—",SUMPRODUCT(MAX((Histórico!$B$5:$B$1004=$A72)*Histórico!$A$5:$A$1004))))</f>
        <v/>
      </c>
      <c r="M72" s="65" t="str">
        <f t="shared" ca="1" si="7"/>
        <v/>
      </c>
      <c r="N72" s="63"/>
      <c r="O72" s="62"/>
      <c r="P72" s="62"/>
      <c r="Q72" s="67" t="str">
        <f t="shared" si="8"/>
        <v/>
      </c>
    </row>
    <row r="73" spans="1:17" ht="15" customHeight="1" x14ac:dyDescent="0.3">
      <c r="A73" s="61"/>
      <c r="B73" s="62"/>
      <c r="C73" s="62"/>
      <c r="D73" s="62"/>
      <c r="E73" s="63"/>
      <c r="F73" s="62"/>
      <c r="G73" s="63"/>
      <c r="H73" s="63"/>
      <c r="I73" s="64"/>
      <c r="J73" s="63"/>
      <c r="K73" s="65" t="str">
        <f t="shared" ca="1" si="6"/>
        <v/>
      </c>
      <c r="L73" s="66" t="str">
        <f>IF($A73="","",IF(SUMPRODUCT(MAX((Histórico!$B$5:$B$1004=$A73)*Histórico!$A$5:$A$1004))=0,"—",SUMPRODUCT(MAX((Histórico!$B$5:$B$1004=$A73)*Histórico!$A$5:$A$1004))))</f>
        <v/>
      </c>
      <c r="M73" s="65" t="str">
        <f t="shared" ca="1" si="7"/>
        <v/>
      </c>
      <c r="N73" s="63"/>
      <c r="O73" s="62"/>
      <c r="P73" s="62"/>
      <c r="Q73" s="67" t="str">
        <f t="shared" si="8"/>
        <v/>
      </c>
    </row>
    <row r="74" spans="1:17" ht="15" customHeight="1" x14ac:dyDescent="0.3">
      <c r="A74" s="61"/>
      <c r="B74" s="62"/>
      <c r="C74" s="62"/>
      <c r="D74" s="62"/>
      <c r="E74" s="63"/>
      <c r="F74" s="62"/>
      <c r="G74" s="63"/>
      <c r="H74" s="63"/>
      <c r="I74" s="64"/>
      <c r="J74" s="63"/>
      <c r="K74" s="65" t="str">
        <f t="shared" ca="1" si="6"/>
        <v/>
      </c>
      <c r="L74" s="66" t="str">
        <f>IF($A74="","",IF(SUMPRODUCT(MAX((Histórico!$B$5:$B$1004=$A74)*Histórico!$A$5:$A$1004))=0,"—",SUMPRODUCT(MAX((Histórico!$B$5:$B$1004=$A74)*Histórico!$A$5:$A$1004))))</f>
        <v/>
      </c>
      <c r="M74" s="65" t="str">
        <f t="shared" ca="1" si="7"/>
        <v/>
      </c>
      <c r="N74" s="63"/>
      <c r="O74" s="62"/>
      <c r="P74" s="62"/>
      <c r="Q74" s="67" t="str">
        <f t="shared" si="8"/>
        <v/>
      </c>
    </row>
    <row r="75" spans="1:17" ht="15" customHeight="1" x14ac:dyDescent="0.3">
      <c r="A75" s="61"/>
      <c r="B75" s="62"/>
      <c r="C75" s="62"/>
      <c r="D75" s="62"/>
      <c r="E75" s="63"/>
      <c r="F75" s="62"/>
      <c r="G75" s="63"/>
      <c r="H75" s="63"/>
      <c r="I75" s="64"/>
      <c r="J75" s="63"/>
      <c r="K75" s="65" t="str">
        <f t="shared" ca="1" si="6"/>
        <v/>
      </c>
      <c r="L75" s="66" t="str">
        <f>IF($A75="","",IF(SUMPRODUCT(MAX((Histórico!$B$5:$B$1004=$A75)*Histórico!$A$5:$A$1004))=0,"—",SUMPRODUCT(MAX((Histórico!$B$5:$B$1004=$A75)*Histórico!$A$5:$A$1004))))</f>
        <v/>
      </c>
      <c r="M75" s="65" t="str">
        <f t="shared" ca="1" si="7"/>
        <v/>
      </c>
      <c r="N75" s="63"/>
      <c r="O75" s="62"/>
      <c r="P75" s="62"/>
      <c r="Q75" s="67" t="str">
        <f t="shared" si="8"/>
        <v/>
      </c>
    </row>
    <row r="76" spans="1:17" ht="15" customHeight="1" x14ac:dyDescent="0.3">
      <c r="A76" s="61"/>
      <c r="B76" s="62"/>
      <c r="C76" s="62"/>
      <c r="D76" s="62"/>
      <c r="E76" s="63"/>
      <c r="F76" s="62"/>
      <c r="G76" s="63"/>
      <c r="H76" s="63"/>
      <c r="I76" s="64"/>
      <c r="J76" s="63"/>
      <c r="K76" s="65" t="str">
        <f t="shared" ca="1" si="6"/>
        <v/>
      </c>
      <c r="L76" s="66" t="str">
        <f>IF($A76="","",IF(SUMPRODUCT(MAX((Histórico!$B$5:$B$1004=$A76)*Histórico!$A$5:$A$1004))=0,"—",SUMPRODUCT(MAX((Histórico!$B$5:$B$1004=$A76)*Histórico!$A$5:$A$1004))))</f>
        <v/>
      </c>
      <c r="M76" s="65" t="str">
        <f t="shared" ca="1" si="7"/>
        <v/>
      </c>
      <c r="N76" s="63"/>
      <c r="O76" s="62"/>
      <c r="P76" s="62"/>
      <c r="Q76" s="67" t="str">
        <f t="shared" si="8"/>
        <v/>
      </c>
    </row>
    <row r="77" spans="1:17" ht="15" customHeight="1" x14ac:dyDescent="0.3">
      <c r="A77" s="61"/>
      <c r="B77" s="62"/>
      <c r="C77" s="62"/>
      <c r="D77" s="62"/>
      <c r="E77" s="63"/>
      <c r="F77" s="62"/>
      <c r="G77" s="63"/>
      <c r="H77" s="63"/>
      <c r="I77" s="64"/>
      <c r="J77" s="63"/>
      <c r="K77" s="65" t="str">
        <f t="shared" ca="1" si="6"/>
        <v/>
      </c>
      <c r="L77" s="66" t="str">
        <f>IF($A77="","",IF(SUMPRODUCT(MAX((Histórico!$B$5:$B$1004=$A77)*Histórico!$A$5:$A$1004))=0,"—",SUMPRODUCT(MAX((Histórico!$B$5:$B$1004=$A77)*Histórico!$A$5:$A$1004))))</f>
        <v/>
      </c>
      <c r="M77" s="65" t="str">
        <f t="shared" ca="1" si="7"/>
        <v/>
      </c>
      <c r="N77" s="63"/>
      <c r="O77" s="62"/>
      <c r="P77" s="62"/>
      <c r="Q77" s="67" t="str">
        <f t="shared" si="8"/>
        <v/>
      </c>
    </row>
    <row r="78" spans="1:17" ht="15" customHeight="1" x14ac:dyDescent="0.3">
      <c r="A78" s="61"/>
      <c r="B78" s="62"/>
      <c r="C78" s="62"/>
      <c r="D78" s="62"/>
      <c r="E78" s="63"/>
      <c r="F78" s="62"/>
      <c r="G78" s="63"/>
      <c r="H78" s="63"/>
      <c r="I78" s="64"/>
      <c r="J78" s="63"/>
      <c r="K78" s="65" t="str">
        <f t="shared" ca="1" si="6"/>
        <v/>
      </c>
      <c r="L78" s="66" t="str">
        <f>IF($A78="","",IF(SUMPRODUCT(MAX((Histórico!$B$5:$B$1004=$A78)*Histórico!$A$5:$A$1004))=0,"—",SUMPRODUCT(MAX((Histórico!$B$5:$B$1004=$A78)*Histórico!$A$5:$A$1004))))</f>
        <v/>
      </c>
      <c r="M78" s="65" t="str">
        <f t="shared" ca="1" si="7"/>
        <v/>
      </c>
      <c r="N78" s="63"/>
      <c r="O78" s="62"/>
      <c r="P78" s="62"/>
      <c r="Q78" s="67" t="str">
        <f t="shared" si="8"/>
        <v/>
      </c>
    </row>
    <row r="79" spans="1:17" ht="15" customHeight="1" x14ac:dyDescent="0.3">
      <c r="A79" s="61"/>
      <c r="B79" s="62"/>
      <c r="C79" s="62"/>
      <c r="D79" s="62"/>
      <c r="E79" s="63"/>
      <c r="F79" s="62"/>
      <c r="G79" s="63"/>
      <c r="H79" s="63"/>
      <c r="I79" s="64"/>
      <c r="J79" s="63"/>
      <c r="K79" s="65" t="str">
        <f t="shared" ca="1" si="6"/>
        <v/>
      </c>
      <c r="L79" s="66" t="str">
        <f>IF($A79="","",IF(SUMPRODUCT(MAX((Histórico!$B$5:$B$1004=$A79)*Histórico!$A$5:$A$1004))=0,"—",SUMPRODUCT(MAX((Histórico!$B$5:$B$1004=$A79)*Histórico!$A$5:$A$1004))))</f>
        <v/>
      </c>
      <c r="M79" s="65" t="str">
        <f t="shared" ca="1" si="7"/>
        <v/>
      </c>
      <c r="N79" s="63"/>
      <c r="O79" s="62"/>
      <c r="P79" s="62"/>
      <c r="Q79" s="67" t="str">
        <f t="shared" si="8"/>
        <v/>
      </c>
    </row>
    <row r="80" spans="1:17" ht="15" customHeight="1" x14ac:dyDescent="0.3">
      <c r="A80" s="61"/>
      <c r="B80" s="62"/>
      <c r="C80" s="62"/>
      <c r="D80" s="62"/>
      <c r="E80" s="63"/>
      <c r="F80" s="62"/>
      <c r="G80" s="63"/>
      <c r="H80" s="63"/>
      <c r="I80" s="64"/>
      <c r="J80" s="63"/>
      <c r="K80" s="65" t="str">
        <f t="shared" ca="1" si="6"/>
        <v/>
      </c>
      <c r="L80" s="66" t="str">
        <f>IF($A80="","",IF(SUMPRODUCT(MAX((Histórico!$B$5:$B$1004=$A80)*Histórico!$A$5:$A$1004))=0,"—",SUMPRODUCT(MAX((Histórico!$B$5:$B$1004=$A80)*Histórico!$A$5:$A$1004))))</f>
        <v/>
      </c>
      <c r="M80" s="65" t="str">
        <f t="shared" ca="1" si="7"/>
        <v/>
      </c>
      <c r="N80" s="63"/>
      <c r="O80" s="62"/>
      <c r="P80" s="62"/>
      <c r="Q80" s="67" t="str">
        <f t="shared" si="8"/>
        <v/>
      </c>
    </row>
    <row r="81" spans="1:17" ht="15" customHeight="1" x14ac:dyDescent="0.3">
      <c r="A81" s="61"/>
      <c r="B81" s="62"/>
      <c r="C81" s="62"/>
      <c r="D81" s="62"/>
      <c r="E81" s="63"/>
      <c r="F81" s="62"/>
      <c r="G81" s="63"/>
      <c r="H81" s="63"/>
      <c r="I81" s="64"/>
      <c r="J81" s="63"/>
      <c r="K81" s="65" t="str">
        <f t="shared" ca="1" si="6"/>
        <v/>
      </c>
      <c r="L81" s="66" t="str">
        <f>IF($A81="","",IF(SUMPRODUCT(MAX((Histórico!$B$5:$B$1004=$A81)*Histórico!$A$5:$A$1004))=0,"—",SUMPRODUCT(MAX((Histórico!$B$5:$B$1004=$A81)*Histórico!$A$5:$A$1004))))</f>
        <v/>
      </c>
      <c r="M81" s="65" t="str">
        <f t="shared" ca="1" si="7"/>
        <v/>
      </c>
      <c r="N81" s="63"/>
      <c r="O81" s="62"/>
      <c r="P81" s="62"/>
      <c r="Q81" s="67" t="str">
        <f t="shared" si="8"/>
        <v/>
      </c>
    </row>
    <row r="82" spans="1:17" ht="15" customHeight="1" x14ac:dyDescent="0.3">
      <c r="A82" s="61"/>
      <c r="B82" s="62"/>
      <c r="C82" s="62"/>
      <c r="D82" s="62"/>
      <c r="E82" s="63"/>
      <c r="F82" s="62"/>
      <c r="G82" s="63"/>
      <c r="H82" s="63"/>
      <c r="I82" s="64"/>
      <c r="J82" s="63"/>
      <c r="K82" s="65" t="str">
        <f t="shared" ca="1" si="6"/>
        <v/>
      </c>
      <c r="L82" s="66" t="str">
        <f>IF($A82="","",IF(SUMPRODUCT(MAX((Histórico!$B$5:$B$1004=$A82)*Histórico!$A$5:$A$1004))=0,"—",SUMPRODUCT(MAX((Histórico!$B$5:$B$1004=$A82)*Histórico!$A$5:$A$1004))))</f>
        <v/>
      </c>
      <c r="M82" s="65" t="str">
        <f t="shared" ca="1" si="7"/>
        <v/>
      </c>
      <c r="N82" s="63"/>
      <c r="O82" s="62"/>
      <c r="P82" s="62"/>
      <c r="Q82" s="67" t="str">
        <f t="shared" si="8"/>
        <v/>
      </c>
    </row>
    <row r="83" spans="1:17" ht="15" customHeight="1" x14ac:dyDescent="0.3">
      <c r="A83" s="61"/>
      <c r="B83" s="62"/>
      <c r="C83" s="62"/>
      <c r="D83" s="62"/>
      <c r="E83" s="63"/>
      <c r="F83" s="62"/>
      <c r="G83" s="63"/>
      <c r="H83" s="63"/>
      <c r="I83" s="64"/>
      <c r="J83" s="63"/>
      <c r="K83" s="65" t="str">
        <f t="shared" ca="1" si="6"/>
        <v/>
      </c>
      <c r="L83" s="66" t="str">
        <f>IF($A83="","",IF(SUMPRODUCT(MAX((Histórico!$B$5:$B$1004=$A83)*Histórico!$A$5:$A$1004))=0,"—",SUMPRODUCT(MAX((Histórico!$B$5:$B$1004=$A83)*Histórico!$A$5:$A$1004))))</f>
        <v/>
      </c>
      <c r="M83" s="65" t="str">
        <f t="shared" ca="1" si="7"/>
        <v/>
      </c>
      <c r="N83" s="63"/>
      <c r="O83" s="62"/>
      <c r="P83" s="62"/>
      <c r="Q83" s="67" t="str">
        <f t="shared" si="8"/>
        <v/>
      </c>
    </row>
    <row r="84" spans="1:17" ht="15" customHeight="1" x14ac:dyDescent="0.3">
      <c r="A84" s="61"/>
      <c r="B84" s="62"/>
      <c r="C84" s="62"/>
      <c r="D84" s="62"/>
      <c r="E84" s="63"/>
      <c r="F84" s="62"/>
      <c r="G84" s="63"/>
      <c r="H84" s="63"/>
      <c r="I84" s="64"/>
      <c r="J84" s="63"/>
      <c r="K84" s="65" t="str">
        <f t="shared" ca="1" si="6"/>
        <v/>
      </c>
      <c r="L84" s="66" t="str">
        <f>IF($A84="","",IF(SUMPRODUCT(MAX((Histórico!$B$5:$B$1004=$A84)*Histórico!$A$5:$A$1004))=0,"—",SUMPRODUCT(MAX((Histórico!$B$5:$B$1004=$A84)*Histórico!$A$5:$A$1004))))</f>
        <v/>
      </c>
      <c r="M84" s="65" t="str">
        <f t="shared" ca="1" si="7"/>
        <v/>
      </c>
      <c r="N84" s="63"/>
      <c r="O84" s="62"/>
      <c r="P84" s="62"/>
      <c r="Q84" s="67" t="str">
        <f t="shared" si="8"/>
        <v/>
      </c>
    </row>
    <row r="85" spans="1:17" ht="15" customHeight="1" x14ac:dyDescent="0.3">
      <c r="A85" s="61"/>
      <c r="B85" s="62"/>
      <c r="C85" s="62"/>
      <c r="D85" s="62"/>
      <c r="E85" s="63"/>
      <c r="F85" s="62"/>
      <c r="G85" s="63"/>
      <c r="H85" s="63"/>
      <c r="I85" s="64"/>
      <c r="J85" s="63"/>
      <c r="K85" s="65" t="str">
        <f t="shared" ca="1" si="6"/>
        <v/>
      </c>
      <c r="L85" s="66" t="str">
        <f>IF($A85="","",IF(SUMPRODUCT(MAX((Histórico!$B$5:$B$1004=$A85)*Histórico!$A$5:$A$1004))=0,"—",SUMPRODUCT(MAX((Histórico!$B$5:$B$1004=$A85)*Histórico!$A$5:$A$1004))))</f>
        <v/>
      </c>
      <c r="M85" s="65" t="str">
        <f t="shared" ca="1" si="7"/>
        <v/>
      </c>
      <c r="N85" s="63"/>
      <c r="O85" s="62"/>
      <c r="P85" s="62"/>
      <c r="Q85" s="67" t="str">
        <f t="shared" si="8"/>
        <v/>
      </c>
    </row>
    <row r="86" spans="1:17" ht="15" customHeight="1" x14ac:dyDescent="0.3">
      <c r="A86" s="61"/>
      <c r="B86" s="62"/>
      <c r="C86" s="62"/>
      <c r="D86" s="62"/>
      <c r="E86" s="63"/>
      <c r="F86" s="62"/>
      <c r="G86" s="63"/>
      <c r="H86" s="63"/>
      <c r="I86" s="64"/>
      <c r="J86" s="63"/>
      <c r="K86" s="65" t="str">
        <f t="shared" ca="1" si="6"/>
        <v/>
      </c>
      <c r="L86" s="66" t="str">
        <f>IF($A86="","",IF(SUMPRODUCT(MAX((Histórico!$B$5:$B$1004=$A86)*Histórico!$A$5:$A$1004))=0,"—",SUMPRODUCT(MAX((Histórico!$B$5:$B$1004=$A86)*Histórico!$A$5:$A$1004))))</f>
        <v/>
      </c>
      <c r="M86" s="65" t="str">
        <f t="shared" ca="1" si="7"/>
        <v/>
      </c>
      <c r="N86" s="63"/>
      <c r="O86" s="62"/>
      <c r="P86" s="62"/>
      <c r="Q86" s="67" t="str">
        <f t="shared" si="8"/>
        <v/>
      </c>
    </row>
    <row r="87" spans="1:17" ht="15" customHeight="1" x14ac:dyDescent="0.3">
      <c r="A87" s="61"/>
      <c r="B87" s="62"/>
      <c r="C87" s="62"/>
      <c r="D87" s="62"/>
      <c r="E87" s="63"/>
      <c r="F87" s="62"/>
      <c r="G87" s="63"/>
      <c r="H87" s="63"/>
      <c r="I87" s="64"/>
      <c r="J87" s="63"/>
      <c r="K87" s="65" t="str">
        <f t="shared" ca="1" si="6"/>
        <v/>
      </c>
      <c r="L87" s="66" t="str">
        <f>IF($A87="","",IF(SUMPRODUCT(MAX((Histórico!$B$5:$B$1004=$A87)*Histórico!$A$5:$A$1004))=0,"—",SUMPRODUCT(MAX((Histórico!$B$5:$B$1004=$A87)*Histórico!$A$5:$A$1004))))</f>
        <v/>
      </c>
      <c r="M87" s="65" t="str">
        <f t="shared" ca="1" si="7"/>
        <v/>
      </c>
      <c r="N87" s="63"/>
      <c r="O87" s="62"/>
      <c r="P87" s="62"/>
      <c r="Q87" s="67" t="str">
        <f t="shared" si="8"/>
        <v/>
      </c>
    </row>
    <row r="88" spans="1:17" ht="15" customHeight="1" x14ac:dyDescent="0.3">
      <c r="A88" s="61"/>
      <c r="B88" s="62"/>
      <c r="C88" s="62"/>
      <c r="D88" s="62"/>
      <c r="E88" s="63"/>
      <c r="F88" s="62"/>
      <c r="G88" s="63"/>
      <c r="H88" s="63"/>
      <c r="I88" s="64"/>
      <c r="J88" s="63"/>
      <c r="K88" s="65" t="str">
        <f t="shared" ca="1" si="6"/>
        <v/>
      </c>
      <c r="L88" s="66" t="str">
        <f>IF($A88="","",IF(SUMPRODUCT(MAX((Histórico!$B$5:$B$1004=$A88)*Histórico!$A$5:$A$1004))=0,"—",SUMPRODUCT(MAX((Histórico!$B$5:$B$1004=$A88)*Histórico!$A$5:$A$1004))))</f>
        <v/>
      </c>
      <c r="M88" s="65" t="str">
        <f t="shared" ca="1" si="7"/>
        <v/>
      </c>
      <c r="N88" s="63"/>
      <c r="O88" s="62"/>
      <c r="P88" s="62"/>
      <c r="Q88" s="67" t="str">
        <f t="shared" si="8"/>
        <v/>
      </c>
    </row>
    <row r="89" spans="1:17" ht="15" customHeight="1" x14ac:dyDescent="0.3">
      <c r="A89" s="61"/>
      <c r="B89" s="62"/>
      <c r="C89" s="62"/>
      <c r="D89" s="62"/>
      <c r="E89" s="63"/>
      <c r="F89" s="62"/>
      <c r="G89" s="63"/>
      <c r="H89" s="63"/>
      <c r="I89" s="64"/>
      <c r="J89" s="63"/>
      <c r="K89" s="65" t="str">
        <f t="shared" ca="1" si="6"/>
        <v/>
      </c>
      <c r="L89" s="66" t="str">
        <f>IF($A89="","",IF(SUMPRODUCT(MAX((Histórico!$B$5:$B$1004=$A89)*Histórico!$A$5:$A$1004))=0,"—",SUMPRODUCT(MAX((Histórico!$B$5:$B$1004=$A89)*Histórico!$A$5:$A$1004))))</f>
        <v/>
      </c>
      <c r="M89" s="65" t="str">
        <f t="shared" ca="1" si="7"/>
        <v/>
      </c>
      <c r="N89" s="63"/>
      <c r="O89" s="62"/>
      <c r="P89" s="62"/>
      <c r="Q89" s="67" t="str">
        <f t="shared" si="8"/>
        <v/>
      </c>
    </row>
    <row r="90" spans="1:17" ht="15" customHeight="1" x14ac:dyDescent="0.3">
      <c r="A90" s="61"/>
      <c r="B90" s="62"/>
      <c r="C90" s="62"/>
      <c r="D90" s="62"/>
      <c r="E90" s="63"/>
      <c r="F90" s="62"/>
      <c r="G90" s="63"/>
      <c r="H90" s="63"/>
      <c r="I90" s="64"/>
      <c r="J90" s="63"/>
      <c r="K90" s="65" t="str">
        <f t="shared" ca="1" si="6"/>
        <v/>
      </c>
      <c r="L90" s="66" t="str">
        <f>IF($A90="","",IF(SUMPRODUCT(MAX((Histórico!$B$5:$B$1004=$A90)*Histórico!$A$5:$A$1004))=0,"—",SUMPRODUCT(MAX((Histórico!$B$5:$B$1004=$A90)*Histórico!$A$5:$A$1004))))</f>
        <v/>
      </c>
      <c r="M90" s="65" t="str">
        <f t="shared" ca="1" si="7"/>
        <v/>
      </c>
      <c r="N90" s="63"/>
      <c r="O90" s="62"/>
      <c r="P90" s="62"/>
      <c r="Q90" s="67" t="str">
        <f t="shared" si="8"/>
        <v/>
      </c>
    </row>
    <row r="91" spans="1:17" ht="15" customHeight="1" x14ac:dyDescent="0.3">
      <c r="A91" s="61"/>
      <c r="B91" s="62"/>
      <c r="C91" s="62"/>
      <c r="D91" s="62"/>
      <c r="E91" s="63"/>
      <c r="F91" s="62"/>
      <c r="G91" s="63"/>
      <c r="H91" s="63"/>
      <c r="I91" s="64"/>
      <c r="J91" s="63"/>
      <c r="K91" s="65" t="str">
        <f t="shared" ca="1" si="6"/>
        <v/>
      </c>
      <c r="L91" s="66" t="str">
        <f>IF($A91="","",IF(SUMPRODUCT(MAX((Histórico!$B$5:$B$1004=$A91)*Histórico!$A$5:$A$1004))=0,"—",SUMPRODUCT(MAX((Histórico!$B$5:$B$1004=$A91)*Histórico!$A$5:$A$1004))))</f>
        <v/>
      </c>
      <c r="M91" s="65" t="str">
        <f t="shared" ca="1" si="7"/>
        <v/>
      </c>
      <c r="N91" s="63"/>
      <c r="O91" s="62"/>
      <c r="P91" s="62"/>
      <c r="Q91" s="67" t="str">
        <f t="shared" si="8"/>
        <v/>
      </c>
    </row>
    <row r="92" spans="1:17" ht="15" customHeight="1" x14ac:dyDescent="0.3">
      <c r="A92" s="61"/>
      <c r="B92" s="62"/>
      <c r="C92" s="62"/>
      <c r="D92" s="62"/>
      <c r="E92" s="63"/>
      <c r="F92" s="62"/>
      <c r="G92" s="63"/>
      <c r="H92" s="63"/>
      <c r="I92" s="64"/>
      <c r="J92" s="63"/>
      <c r="K92" s="65" t="str">
        <f t="shared" ca="1" si="6"/>
        <v/>
      </c>
      <c r="L92" s="66" t="str">
        <f>IF($A92="","",IF(SUMPRODUCT(MAX((Histórico!$B$5:$B$1004=$A92)*Histórico!$A$5:$A$1004))=0,"—",SUMPRODUCT(MAX((Histórico!$B$5:$B$1004=$A92)*Histórico!$A$5:$A$1004))))</f>
        <v/>
      </c>
      <c r="M92" s="65" t="str">
        <f t="shared" ca="1" si="7"/>
        <v/>
      </c>
      <c r="N92" s="63"/>
      <c r="O92" s="62"/>
      <c r="P92" s="62"/>
      <c r="Q92" s="67" t="str">
        <f t="shared" si="8"/>
        <v/>
      </c>
    </row>
    <row r="93" spans="1:17" ht="15" customHeight="1" x14ac:dyDescent="0.3">
      <c r="A93" s="61"/>
      <c r="B93" s="62"/>
      <c r="C93" s="62"/>
      <c r="D93" s="62"/>
      <c r="E93" s="63"/>
      <c r="F93" s="62"/>
      <c r="G93" s="63"/>
      <c r="H93" s="63"/>
      <c r="I93" s="64"/>
      <c r="J93" s="63"/>
      <c r="K93" s="65" t="str">
        <f t="shared" ca="1" si="6"/>
        <v/>
      </c>
      <c r="L93" s="66" t="str">
        <f>IF($A93="","",IF(SUMPRODUCT(MAX((Histórico!$B$5:$B$1004=$A93)*Histórico!$A$5:$A$1004))=0,"—",SUMPRODUCT(MAX((Histórico!$B$5:$B$1004=$A93)*Histórico!$A$5:$A$1004))))</f>
        <v/>
      </c>
      <c r="M93" s="65" t="str">
        <f t="shared" ca="1" si="7"/>
        <v/>
      </c>
      <c r="N93" s="63"/>
      <c r="O93" s="62"/>
      <c r="P93" s="62"/>
      <c r="Q93" s="67" t="str">
        <f t="shared" si="8"/>
        <v/>
      </c>
    </row>
    <row r="94" spans="1:17" ht="15" customHeight="1" x14ac:dyDescent="0.3">
      <c r="A94" s="61"/>
      <c r="B94" s="62"/>
      <c r="C94" s="62"/>
      <c r="D94" s="62"/>
      <c r="E94" s="63"/>
      <c r="F94" s="62"/>
      <c r="G94" s="63"/>
      <c r="H94" s="63"/>
      <c r="I94" s="64"/>
      <c r="J94" s="63"/>
      <c r="K94" s="65" t="str">
        <f t="shared" ca="1" si="6"/>
        <v/>
      </c>
      <c r="L94" s="66" t="str">
        <f>IF($A94="","",IF(SUMPRODUCT(MAX((Histórico!$B$5:$B$1004=$A94)*Histórico!$A$5:$A$1004))=0,"—",SUMPRODUCT(MAX((Histórico!$B$5:$B$1004=$A94)*Histórico!$A$5:$A$1004))))</f>
        <v/>
      </c>
      <c r="M94" s="65" t="str">
        <f t="shared" ca="1" si="7"/>
        <v/>
      </c>
      <c r="N94" s="63"/>
      <c r="O94" s="62"/>
      <c r="P94" s="62"/>
      <c r="Q94" s="67" t="str">
        <f t="shared" si="8"/>
        <v/>
      </c>
    </row>
    <row r="95" spans="1:17" ht="15" customHeight="1" x14ac:dyDescent="0.3">
      <c r="A95" s="61"/>
      <c r="B95" s="62"/>
      <c r="C95" s="62"/>
      <c r="D95" s="62"/>
      <c r="E95" s="63"/>
      <c r="F95" s="62"/>
      <c r="G95" s="63"/>
      <c r="H95" s="63"/>
      <c r="I95" s="64"/>
      <c r="J95" s="63"/>
      <c r="K95" s="65" t="str">
        <f t="shared" ca="1" si="6"/>
        <v/>
      </c>
      <c r="L95" s="66" t="str">
        <f>IF($A95="","",IF(SUMPRODUCT(MAX((Histórico!$B$5:$B$1004=$A95)*Histórico!$A$5:$A$1004))=0,"—",SUMPRODUCT(MAX((Histórico!$B$5:$B$1004=$A95)*Histórico!$A$5:$A$1004))))</f>
        <v/>
      </c>
      <c r="M95" s="65" t="str">
        <f t="shared" ca="1" si="7"/>
        <v/>
      </c>
      <c r="N95" s="63"/>
      <c r="O95" s="62"/>
      <c r="P95" s="62"/>
      <c r="Q95" s="67" t="str">
        <f t="shared" si="8"/>
        <v/>
      </c>
    </row>
    <row r="96" spans="1:17" ht="15" customHeight="1" x14ac:dyDescent="0.3">
      <c r="A96" s="61"/>
      <c r="B96" s="62"/>
      <c r="C96" s="62"/>
      <c r="D96" s="62"/>
      <c r="E96" s="63"/>
      <c r="F96" s="62"/>
      <c r="G96" s="63"/>
      <c r="H96" s="63"/>
      <c r="I96" s="64"/>
      <c r="J96" s="63"/>
      <c r="K96" s="65" t="str">
        <f t="shared" ca="1" si="6"/>
        <v/>
      </c>
      <c r="L96" s="66" t="str">
        <f>IF($A96="","",IF(SUMPRODUCT(MAX((Histórico!$B$5:$B$1004=$A96)*Histórico!$A$5:$A$1004))=0,"—",SUMPRODUCT(MAX((Histórico!$B$5:$B$1004=$A96)*Histórico!$A$5:$A$1004))))</f>
        <v/>
      </c>
      <c r="M96" s="65" t="str">
        <f t="shared" ca="1" si="7"/>
        <v/>
      </c>
      <c r="N96" s="63"/>
      <c r="O96" s="62"/>
      <c r="P96" s="62"/>
      <c r="Q96" s="67" t="str">
        <f t="shared" si="8"/>
        <v/>
      </c>
    </row>
    <row r="97" spans="1:17" ht="15" customHeight="1" x14ac:dyDescent="0.3">
      <c r="A97" s="61"/>
      <c r="B97" s="62"/>
      <c r="C97" s="62"/>
      <c r="D97" s="62"/>
      <c r="E97" s="63"/>
      <c r="F97" s="62"/>
      <c r="G97" s="63"/>
      <c r="H97" s="63"/>
      <c r="I97" s="64"/>
      <c r="J97" s="63"/>
      <c r="K97" s="65" t="str">
        <f t="shared" ca="1" si="6"/>
        <v/>
      </c>
      <c r="L97" s="66" t="str">
        <f>IF($A97="","",IF(SUMPRODUCT(MAX((Histórico!$B$5:$B$1004=$A97)*Histórico!$A$5:$A$1004))=0,"—",SUMPRODUCT(MAX((Histórico!$B$5:$B$1004=$A97)*Histórico!$A$5:$A$1004))))</f>
        <v/>
      </c>
      <c r="M97" s="65" t="str">
        <f t="shared" ca="1" si="7"/>
        <v/>
      </c>
      <c r="N97" s="63"/>
      <c r="O97" s="62"/>
      <c r="P97" s="62"/>
      <c r="Q97" s="67" t="str">
        <f t="shared" si="8"/>
        <v/>
      </c>
    </row>
    <row r="98" spans="1:17" ht="15" customHeight="1" x14ac:dyDescent="0.3">
      <c r="A98" s="61"/>
      <c r="B98" s="62"/>
      <c r="C98" s="62"/>
      <c r="D98" s="62"/>
      <c r="E98" s="63"/>
      <c r="F98" s="62"/>
      <c r="G98" s="63"/>
      <c r="H98" s="63"/>
      <c r="I98" s="64"/>
      <c r="J98" s="63"/>
      <c r="K98" s="65" t="str">
        <f t="shared" ca="1" si="6"/>
        <v/>
      </c>
      <c r="L98" s="66" t="str">
        <f>IF($A98="","",IF(SUMPRODUCT(MAX((Histórico!$B$5:$B$1004=$A98)*Histórico!$A$5:$A$1004))=0,"—",SUMPRODUCT(MAX((Histórico!$B$5:$B$1004=$A98)*Histórico!$A$5:$A$1004))))</f>
        <v/>
      </c>
      <c r="M98" s="65" t="str">
        <f t="shared" ca="1" si="7"/>
        <v/>
      </c>
      <c r="N98" s="63"/>
      <c r="O98" s="62"/>
      <c r="P98" s="62"/>
      <c r="Q98" s="67" t="str">
        <f t="shared" si="8"/>
        <v/>
      </c>
    </row>
    <row r="99" spans="1:17" ht="15" customHeight="1" x14ac:dyDescent="0.3">
      <c r="A99" s="61"/>
      <c r="B99" s="62"/>
      <c r="C99" s="62"/>
      <c r="D99" s="62"/>
      <c r="E99" s="63"/>
      <c r="F99" s="62"/>
      <c r="G99" s="63"/>
      <c r="H99" s="63"/>
      <c r="I99" s="64"/>
      <c r="J99" s="63"/>
      <c r="K99" s="65" t="str">
        <f t="shared" ca="1" si="6"/>
        <v/>
      </c>
      <c r="L99" s="66" t="str">
        <f>IF($A99="","",IF(SUMPRODUCT(MAX((Histórico!$B$5:$B$1004=$A99)*Histórico!$A$5:$A$1004))=0,"—",SUMPRODUCT(MAX((Histórico!$B$5:$B$1004=$A99)*Histórico!$A$5:$A$1004))))</f>
        <v/>
      </c>
      <c r="M99" s="65" t="str">
        <f t="shared" ca="1" si="7"/>
        <v/>
      </c>
      <c r="N99" s="63"/>
      <c r="O99" s="62"/>
      <c r="P99" s="62"/>
      <c r="Q99" s="67" t="str">
        <f t="shared" si="8"/>
        <v/>
      </c>
    </row>
    <row r="100" spans="1:17" ht="15" customHeight="1" x14ac:dyDescent="0.3">
      <c r="A100" s="61"/>
      <c r="B100" s="62"/>
      <c r="C100" s="62"/>
      <c r="D100" s="62"/>
      <c r="E100" s="63"/>
      <c r="F100" s="62"/>
      <c r="G100" s="63"/>
      <c r="H100" s="63"/>
      <c r="I100" s="64"/>
      <c r="J100" s="63"/>
      <c r="K100" s="65" t="str">
        <f t="shared" ca="1" si="6"/>
        <v/>
      </c>
      <c r="L100" s="66" t="str">
        <f>IF($A100="","",IF(SUMPRODUCT(MAX((Histórico!$B$5:$B$1004=$A100)*Histórico!$A$5:$A$1004))=0,"—",SUMPRODUCT(MAX((Histórico!$B$5:$B$1004=$A100)*Histórico!$A$5:$A$1004))))</f>
        <v/>
      </c>
      <c r="M100" s="65" t="str">
        <f t="shared" ca="1" si="7"/>
        <v/>
      </c>
      <c r="N100" s="63"/>
      <c r="O100" s="62"/>
      <c r="P100" s="62"/>
      <c r="Q100" s="67" t="str">
        <f t="shared" si="8"/>
        <v/>
      </c>
    </row>
    <row r="101" spans="1:17" ht="15" customHeight="1" x14ac:dyDescent="0.3">
      <c r="A101" s="61"/>
      <c r="B101" s="62"/>
      <c r="C101" s="62"/>
      <c r="D101" s="62"/>
      <c r="E101" s="63"/>
      <c r="F101" s="62"/>
      <c r="G101" s="63"/>
      <c r="H101" s="63"/>
      <c r="I101" s="64"/>
      <c r="J101" s="63"/>
      <c r="K101" s="65" t="str">
        <f t="shared" ref="K101:K132" ca="1" si="9">IF($A101="","",IF(ISNUMBER(I101),I101-TODAY(),"—"))</f>
        <v/>
      </c>
      <c r="L101" s="66" t="str">
        <f>IF($A101="","",IF(SUMPRODUCT(MAX((Histórico!$B$5:$B$1004=$A101)*Histórico!$A$5:$A$1004))=0,"—",SUMPRODUCT(MAX((Histórico!$B$5:$B$1004=$A101)*Histórico!$A$5:$A$1004))))</f>
        <v/>
      </c>
      <c r="M101" s="65" t="str">
        <f t="shared" ref="M101:M132" ca="1" si="10">IF($A101="","",IF(ISNUMBER(L101),TODAY()-L101,"—"))</f>
        <v/>
      </c>
      <c r="N101" s="63"/>
      <c r="O101" s="62"/>
      <c r="P101" s="62"/>
      <c r="Q101" s="67" t="str">
        <f t="shared" ref="Q101:Q132" si="11">IF(N101="Bloqueado",ROW(),IF(N101="Atenção",10000+ROW(),""))</f>
        <v/>
      </c>
    </row>
    <row r="102" spans="1:17" ht="15" customHeight="1" x14ac:dyDescent="0.3">
      <c r="A102" s="61"/>
      <c r="B102" s="62"/>
      <c r="C102" s="62"/>
      <c r="D102" s="62"/>
      <c r="E102" s="63"/>
      <c r="F102" s="62"/>
      <c r="G102" s="63"/>
      <c r="H102" s="63"/>
      <c r="I102" s="64"/>
      <c r="J102" s="63"/>
      <c r="K102" s="65" t="str">
        <f t="shared" ca="1" si="9"/>
        <v/>
      </c>
      <c r="L102" s="66" t="str">
        <f>IF($A102="","",IF(SUMPRODUCT(MAX((Histórico!$B$5:$B$1004=$A102)*Histórico!$A$5:$A$1004))=0,"—",SUMPRODUCT(MAX((Histórico!$B$5:$B$1004=$A102)*Histórico!$A$5:$A$1004))))</f>
        <v/>
      </c>
      <c r="M102" s="65" t="str">
        <f t="shared" ca="1" si="10"/>
        <v/>
      </c>
      <c r="N102" s="63"/>
      <c r="O102" s="62"/>
      <c r="P102" s="62"/>
      <c r="Q102" s="67" t="str">
        <f t="shared" si="11"/>
        <v/>
      </c>
    </row>
    <row r="103" spans="1:17" ht="15" customHeight="1" x14ac:dyDescent="0.3">
      <c r="A103" s="61"/>
      <c r="B103" s="62"/>
      <c r="C103" s="62"/>
      <c r="D103" s="62"/>
      <c r="E103" s="63"/>
      <c r="F103" s="62"/>
      <c r="G103" s="63"/>
      <c r="H103" s="63"/>
      <c r="I103" s="64"/>
      <c r="J103" s="63"/>
      <c r="K103" s="65" t="str">
        <f t="shared" ca="1" si="9"/>
        <v/>
      </c>
      <c r="L103" s="66" t="str">
        <f>IF($A103="","",IF(SUMPRODUCT(MAX((Histórico!$B$5:$B$1004=$A103)*Histórico!$A$5:$A$1004))=0,"—",SUMPRODUCT(MAX((Histórico!$B$5:$B$1004=$A103)*Histórico!$A$5:$A$1004))))</f>
        <v/>
      </c>
      <c r="M103" s="65" t="str">
        <f t="shared" ca="1" si="10"/>
        <v/>
      </c>
      <c r="N103" s="63"/>
      <c r="O103" s="62"/>
      <c r="P103" s="62"/>
      <c r="Q103" s="67" t="str">
        <f t="shared" si="11"/>
        <v/>
      </c>
    </row>
    <row r="104" spans="1:17" ht="15" customHeight="1" x14ac:dyDescent="0.3">
      <c r="A104" s="61"/>
      <c r="B104" s="62"/>
      <c r="C104" s="62"/>
      <c r="D104" s="62"/>
      <c r="E104" s="63"/>
      <c r="F104" s="62"/>
      <c r="G104" s="63"/>
      <c r="H104" s="63"/>
      <c r="I104" s="64"/>
      <c r="J104" s="63"/>
      <c r="K104" s="65" t="str">
        <f t="shared" ca="1" si="9"/>
        <v/>
      </c>
      <c r="L104" s="66" t="str">
        <f>IF($A104="","",IF(SUMPRODUCT(MAX((Histórico!$B$5:$B$1004=$A104)*Histórico!$A$5:$A$1004))=0,"—",SUMPRODUCT(MAX((Histórico!$B$5:$B$1004=$A104)*Histórico!$A$5:$A$1004))))</f>
        <v/>
      </c>
      <c r="M104" s="65" t="str">
        <f t="shared" ca="1" si="10"/>
        <v/>
      </c>
      <c r="N104" s="63"/>
      <c r="O104" s="62"/>
      <c r="P104" s="62"/>
      <c r="Q104" s="67" t="str">
        <f t="shared" si="11"/>
        <v/>
      </c>
    </row>
    <row r="105" spans="1:17" ht="15" customHeight="1" x14ac:dyDescent="0.3">
      <c r="A105" s="61"/>
      <c r="B105" s="62"/>
      <c r="C105" s="62"/>
      <c r="D105" s="62"/>
      <c r="E105" s="63"/>
      <c r="F105" s="62"/>
      <c r="G105" s="63"/>
      <c r="H105" s="63"/>
      <c r="I105" s="64"/>
      <c r="J105" s="63"/>
      <c r="K105" s="65" t="str">
        <f t="shared" ca="1" si="9"/>
        <v/>
      </c>
      <c r="L105" s="66" t="str">
        <f>IF($A105="","",IF(SUMPRODUCT(MAX((Histórico!$B$5:$B$1004=$A105)*Histórico!$A$5:$A$1004))=0,"—",SUMPRODUCT(MAX((Histórico!$B$5:$B$1004=$A105)*Histórico!$A$5:$A$1004))))</f>
        <v/>
      </c>
      <c r="M105" s="65" t="str">
        <f t="shared" ca="1" si="10"/>
        <v/>
      </c>
      <c r="N105" s="63"/>
      <c r="O105" s="62"/>
      <c r="P105" s="62"/>
      <c r="Q105" s="67" t="str">
        <f t="shared" si="11"/>
        <v/>
      </c>
    </row>
    <row r="106" spans="1:17" ht="15" customHeight="1" x14ac:dyDescent="0.3">
      <c r="A106" s="61"/>
      <c r="B106" s="62"/>
      <c r="C106" s="62"/>
      <c r="D106" s="62"/>
      <c r="E106" s="63"/>
      <c r="F106" s="62"/>
      <c r="G106" s="63"/>
      <c r="H106" s="63"/>
      <c r="I106" s="64"/>
      <c r="J106" s="63"/>
      <c r="K106" s="65" t="str">
        <f t="shared" ca="1" si="9"/>
        <v/>
      </c>
      <c r="L106" s="66" t="str">
        <f>IF($A106="","",IF(SUMPRODUCT(MAX((Histórico!$B$5:$B$1004=$A106)*Histórico!$A$5:$A$1004))=0,"—",SUMPRODUCT(MAX((Histórico!$B$5:$B$1004=$A106)*Histórico!$A$5:$A$1004))))</f>
        <v/>
      </c>
      <c r="M106" s="65" t="str">
        <f t="shared" ca="1" si="10"/>
        <v/>
      </c>
      <c r="N106" s="63"/>
      <c r="O106" s="62"/>
      <c r="P106" s="62"/>
      <c r="Q106" s="67" t="str">
        <f t="shared" si="11"/>
        <v/>
      </c>
    </row>
    <row r="107" spans="1:17" ht="15" customHeight="1" x14ac:dyDescent="0.3">
      <c r="A107" s="61"/>
      <c r="B107" s="62"/>
      <c r="C107" s="62"/>
      <c r="D107" s="62"/>
      <c r="E107" s="63"/>
      <c r="F107" s="62"/>
      <c r="G107" s="63"/>
      <c r="H107" s="63"/>
      <c r="I107" s="64"/>
      <c r="J107" s="63"/>
      <c r="K107" s="65" t="str">
        <f t="shared" ca="1" si="9"/>
        <v/>
      </c>
      <c r="L107" s="66" t="str">
        <f>IF($A107="","",IF(SUMPRODUCT(MAX((Histórico!$B$5:$B$1004=$A107)*Histórico!$A$5:$A$1004))=0,"—",SUMPRODUCT(MAX((Histórico!$B$5:$B$1004=$A107)*Histórico!$A$5:$A$1004))))</f>
        <v/>
      </c>
      <c r="M107" s="65" t="str">
        <f t="shared" ca="1" si="10"/>
        <v/>
      </c>
      <c r="N107" s="63"/>
      <c r="O107" s="62"/>
      <c r="P107" s="62"/>
      <c r="Q107" s="67" t="str">
        <f t="shared" si="11"/>
        <v/>
      </c>
    </row>
    <row r="108" spans="1:17" ht="15" customHeight="1" x14ac:dyDescent="0.3">
      <c r="A108" s="61"/>
      <c r="B108" s="62"/>
      <c r="C108" s="62"/>
      <c r="D108" s="62"/>
      <c r="E108" s="63"/>
      <c r="F108" s="62"/>
      <c r="G108" s="63"/>
      <c r="H108" s="63"/>
      <c r="I108" s="64"/>
      <c r="J108" s="63"/>
      <c r="K108" s="65" t="str">
        <f t="shared" ca="1" si="9"/>
        <v/>
      </c>
      <c r="L108" s="66" t="str">
        <f>IF($A108="","",IF(SUMPRODUCT(MAX((Histórico!$B$5:$B$1004=$A108)*Histórico!$A$5:$A$1004))=0,"—",SUMPRODUCT(MAX((Histórico!$B$5:$B$1004=$A108)*Histórico!$A$5:$A$1004))))</f>
        <v/>
      </c>
      <c r="M108" s="65" t="str">
        <f t="shared" ca="1" si="10"/>
        <v/>
      </c>
      <c r="N108" s="63"/>
      <c r="O108" s="62"/>
      <c r="P108" s="62"/>
      <c r="Q108" s="67" t="str">
        <f t="shared" si="11"/>
        <v/>
      </c>
    </row>
    <row r="109" spans="1:17" ht="15" customHeight="1" x14ac:dyDescent="0.3">
      <c r="A109" s="61"/>
      <c r="B109" s="62"/>
      <c r="C109" s="62"/>
      <c r="D109" s="62"/>
      <c r="E109" s="63"/>
      <c r="F109" s="62"/>
      <c r="G109" s="63"/>
      <c r="H109" s="63"/>
      <c r="I109" s="64"/>
      <c r="J109" s="63"/>
      <c r="K109" s="65" t="str">
        <f t="shared" ca="1" si="9"/>
        <v/>
      </c>
      <c r="L109" s="66" t="str">
        <f>IF($A109="","",IF(SUMPRODUCT(MAX((Histórico!$B$5:$B$1004=$A109)*Histórico!$A$5:$A$1004))=0,"—",SUMPRODUCT(MAX((Histórico!$B$5:$B$1004=$A109)*Histórico!$A$5:$A$1004))))</f>
        <v/>
      </c>
      <c r="M109" s="65" t="str">
        <f t="shared" ca="1" si="10"/>
        <v/>
      </c>
      <c r="N109" s="63"/>
      <c r="O109" s="62"/>
      <c r="P109" s="62"/>
      <c r="Q109" s="67" t="str">
        <f t="shared" si="11"/>
        <v/>
      </c>
    </row>
    <row r="110" spans="1:17" ht="15" customHeight="1" x14ac:dyDescent="0.3">
      <c r="A110" s="61"/>
      <c r="B110" s="62"/>
      <c r="C110" s="62"/>
      <c r="D110" s="62"/>
      <c r="E110" s="63"/>
      <c r="F110" s="62"/>
      <c r="G110" s="63"/>
      <c r="H110" s="63"/>
      <c r="I110" s="64"/>
      <c r="J110" s="63"/>
      <c r="K110" s="65" t="str">
        <f t="shared" ca="1" si="9"/>
        <v/>
      </c>
      <c r="L110" s="66" t="str">
        <f>IF($A110="","",IF(SUMPRODUCT(MAX((Histórico!$B$5:$B$1004=$A110)*Histórico!$A$5:$A$1004))=0,"—",SUMPRODUCT(MAX((Histórico!$B$5:$B$1004=$A110)*Histórico!$A$5:$A$1004))))</f>
        <v/>
      </c>
      <c r="M110" s="65" t="str">
        <f t="shared" ca="1" si="10"/>
        <v/>
      </c>
      <c r="N110" s="63"/>
      <c r="O110" s="62"/>
      <c r="P110" s="62"/>
      <c r="Q110" s="67" t="str">
        <f t="shared" si="11"/>
        <v/>
      </c>
    </row>
    <row r="111" spans="1:17" ht="15" customHeight="1" x14ac:dyDescent="0.3">
      <c r="A111" s="61"/>
      <c r="B111" s="62"/>
      <c r="C111" s="62"/>
      <c r="D111" s="62"/>
      <c r="E111" s="63"/>
      <c r="F111" s="62"/>
      <c r="G111" s="63"/>
      <c r="H111" s="63"/>
      <c r="I111" s="64"/>
      <c r="J111" s="63"/>
      <c r="K111" s="65" t="str">
        <f t="shared" ca="1" si="9"/>
        <v/>
      </c>
      <c r="L111" s="66" t="str">
        <f>IF($A111="","",IF(SUMPRODUCT(MAX((Histórico!$B$5:$B$1004=$A111)*Histórico!$A$5:$A$1004))=0,"—",SUMPRODUCT(MAX((Histórico!$B$5:$B$1004=$A111)*Histórico!$A$5:$A$1004))))</f>
        <v/>
      </c>
      <c r="M111" s="65" t="str">
        <f t="shared" ca="1" si="10"/>
        <v/>
      </c>
      <c r="N111" s="63"/>
      <c r="O111" s="62"/>
      <c r="P111" s="62"/>
      <c r="Q111" s="67" t="str">
        <f t="shared" si="11"/>
        <v/>
      </c>
    </row>
    <row r="112" spans="1:17" ht="15" customHeight="1" x14ac:dyDescent="0.3">
      <c r="A112" s="61"/>
      <c r="B112" s="62"/>
      <c r="C112" s="62"/>
      <c r="D112" s="62"/>
      <c r="E112" s="63"/>
      <c r="F112" s="62"/>
      <c r="G112" s="63"/>
      <c r="H112" s="63"/>
      <c r="I112" s="64"/>
      <c r="J112" s="63"/>
      <c r="K112" s="65" t="str">
        <f t="shared" ca="1" si="9"/>
        <v/>
      </c>
      <c r="L112" s="66" t="str">
        <f>IF($A112="","",IF(SUMPRODUCT(MAX((Histórico!$B$5:$B$1004=$A112)*Histórico!$A$5:$A$1004))=0,"—",SUMPRODUCT(MAX((Histórico!$B$5:$B$1004=$A112)*Histórico!$A$5:$A$1004))))</f>
        <v/>
      </c>
      <c r="M112" s="65" t="str">
        <f t="shared" ca="1" si="10"/>
        <v/>
      </c>
      <c r="N112" s="63"/>
      <c r="O112" s="62"/>
      <c r="P112" s="62"/>
      <c r="Q112" s="67" t="str">
        <f t="shared" si="11"/>
        <v/>
      </c>
    </row>
    <row r="113" spans="1:17" ht="15" customHeight="1" x14ac:dyDescent="0.3">
      <c r="A113" s="61"/>
      <c r="B113" s="62"/>
      <c r="C113" s="62"/>
      <c r="D113" s="62"/>
      <c r="E113" s="63"/>
      <c r="F113" s="62"/>
      <c r="G113" s="63"/>
      <c r="H113" s="63"/>
      <c r="I113" s="64"/>
      <c r="J113" s="63"/>
      <c r="K113" s="65" t="str">
        <f t="shared" ca="1" si="9"/>
        <v/>
      </c>
      <c r="L113" s="66" t="str">
        <f>IF($A113="","",IF(SUMPRODUCT(MAX((Histórico!$B$5:$B$1004=$A113)*Histórico!$A$5:$A$1004))=0,"—",SUMPRODUCT(MAX((Histórico!$B$5:$B$1004=$A113)*Histórico!$A$5:$A$1004))))</f>
        <v/>
      </c>
      <c r="M113" s="65" t="str">
        <f t="shared" ca="1" si="10"/>
        <v/>
      </c>
      <c r="N113" s="63"/>
      <c r="O113" s="62"/>
      <c r="P113" s="62"/>
      <c r="Q113" s="67" t="str">
        <f t="shared" si="11"/>
        <v/>
      </c>
    </row>
    <row r="114" spans="1:17" ht="15" customHeight="1" x14ac:dyDescent="0.3">
      <c r="A114" s="61"/>
      <c r="B114" s="62"/>
      <c r="C114" s="62"/>
      <c r="D114" s="62"/>
      <c r="E114" s="63"/>
      <c r="F114" s="62"/>
      <c r="G114" s="63"/>
      <c r="H114" s="63"/>
      <c r="I114" s="64"/>
      <c r="J114" s="63"/>
      <c r="K114" s="65" t="str">
        <f t="shared" ca="1" si="9"/>
        <v/>
      </c>
      <c r="L114" s="66" t="str">
        <f>IF($A114="","",IF(SUMPRODUCT(MAX((Histórico!$B$5:$B$1004=$A114)*Histórico!$A$5:$A$1004))=0,"—",SUMPRODUCT(MAX((Histórico!$B$5:$B$1004=$A114)*Histórico!$A$5:$A$1004))))</f>
        <v/>
      </c>
      <c r="M114" s="65" t="str">
        <f t="shared" ca="1" si="10"/>
        <v/>
      </c>
      <c r="N114" s="63"/>
      <c r="O114" s="62"/>
      <c r="P114" s="62"/>
      <c r="Q114" s="67" t="str">
        <f t="shared" si="11"/>
        <v/>
      </c>
    </row>
    <row r="115" spans="1:17" ht="15" customHeight="1" x14ac:dyDescent="0.3">
      <c r="A115" s="61"/>
      <c r="B115" s="62"/>
      <c r="C115" s="62"/>
      <c r="D115" s="62"/>
      <c r="E115" s="63"/>
      <c r="F115" s="62"/>
      <c r="G115" s="63"/>
      <c r="H115" s="63"/>
      <c r="I115" s="64"/>
      <c r="J115" s="63"/>
      <c r="K115" s="65" t="str">
        <f t="shared" ca="1" si="9"/>
        <v/>
      </c>
      <c r="L115" s="66" t="str">
        <f>IF($A115="","",IF(SUMPRODUCT(MAX((Histórico!$B$5:$B$1004=$A115)*Histórico!$A$5:$A$1004))=0,"—",SUMPRODUCT(MAX((Histórico!$B$5:$B$1004=$A115)*Histórico!$A$5:$A$1004))))</f>
        <v/>
      </c>
      <c r="M115" s="65" t="str">
        <f t="shared" ca="1" si="10"/>
        <v/>
      </c>
      <c r="N115" s="63"/>
      <c r="O115" s="62"/>
      <c r="P115" s="62"/>
      <c r="Q115" s="67" t="str">
        <f t="shared" si="11"/>
        <v/>
      </c>
    </row>
    <row r="116" spans="1:17" ht="15" customHeight="1" x14ac:dyDescent="0.3">
      <c r="A116" s="61"/>
      <c r="B116" s="62"/>
      <c r="C116" s="62"/>
      <c r="D116" s="62"/>
      <c r="E116" s="63"/>
      <c r="F116" s="62"/>
      <c r="G116" s="63"/>
      <c r="H116" s="63"/>
      <c r="I116" s="64"/>
      <c r="J116" s="63"/>
      <c r="K116" s="65" t="str">
        <f t="shared" ca="1" si="9"/>
        <v/>
      </c>
      <c r="L116" s="66" t="str">
        <f>IF($A116="","",IF(SUMPRODUCT(MAX((Histórico!$B$5:$B$1004=$A116)*Histórico!$A$5:$A$1004))=0,"—",SUMPRODUCT(MAX((Histórico!$B$5:$B$1004=$A116)*Histórico!$A$5:$A$1004))))</f>
        <v/>
      </c>
      <c r="M116" s="65" t="str">
        <f t="shared" ca="1" si="10"/>
        <v/>
      </c>
      <c r="N116" s="63"/>
      <c r="O116" s="62"/>
      <c r="P116" s="62"/>
      <c r="Q116" s="67" t="str">
        <f t="shared" si="11"/>
        <v/>
      </c>
    </row>
    <row r="117" spans="1:17" ht="15" customHeight="1" x14ac:dyDescent="0.3">
      <c r="A117" s="61"/>
      <c r="B117" s="62"/>
      <c r="C117" s="62"/>
      <c r="D117" s="62"/>
      <c r="E117" s="63"/>
      <c r="F117" s="62"/>
      <c r="G117" s="63"/>
      <c r="H117" s="63"/>
      <c r="I117" s="64"/>
      <c r="J117" s="63"/>
      <c r="K117" s="65" t="str">
        <f t="shared" ca="1" si="9"/>
        <v/>
      </c>
      <c r="L117" s="66" t="str">
        <f>IF($A117="","",IF(SUMPRODUCT(MAX((Histórico!$B$5:$B$1004=$A117)*Histórico!$A$5:$A$1004))=0,"—",SUMPRODUCT(MAX((Histórico!$B$5:$B$1004=$A117)*Histórico!$A$5:$A$1004))))</f>
        <v/>
      </c>
      <c r="M117" s="65" t="str">
        <f t="shared" ca="1" si="10"/>
        <v/>
      </c>
      <c r="N117" s="63"/>
      <c r="O117" s="62"/>
      <c r="P117" s="62"/>
      <c r="Q117" s="67" t="str">
        <f t="shared" si="11"/>
        <v/>
      </c>
    </row>
    <row r="118" spans="1:17" ht="15" customHeight="1" x14ac:dyDescent="0.3">
      <c r="A118" s="61"/>
      <c r="B118" s="62"/>
      <c r="C118" s="62"/>
      <c r="D118" s="62"/>
      <c r="E118" s="63"/>
      <c r="F118" s="62"/>
      <c r="G118" s="63"/>
      <c r="H118" s="63"/>
      <c r="I118" s="64"/>
      <c r="J118" s="63"/>
      <c r="K118" s="65" t="str">
        <f t="shared" ca="1" si="9"/>
        <v/>
      </c>
      <c r="L118" s="66" t="str">
        <f>IF($A118="","",IF(SUMPRODUCT(MAX((Histórico!$B$5:$B$1004=$A118)*Histórico!$A$5:$A$1004))=0,"—",SUMPRODUCT(MAX((Histórico!$B$5:$B$1004=$A118)*Histórico!$A$5:$A$1004))))</f>
        <v/>
      </c>
      <c r="M118" s="65" t="str">
        <f t="shared" ca="1" si="10"/>
        <v/>
      </c>
      <c r="N118" s="63"/>
      <c r="O118" s="62"/>
      <c r="P118" s="62"/>
      <c r="Q118" s="67" t="str">
        <f t="shared" si="11"/>
        <v/>
      </c>
    </row>
    <row r="119" spans="1:17" ht="15" customHeight="1" x14ac:dyDescent="0.3">
      <c r="A119" s="61"/>
      <c r="B119" s="62"/>
      <c r="C119" s="62"/>
      <c r="D119" s="62"/>
      <c r="E119" s="63"/>
      <c r="F119" s="62"/>
      <c r="G119" s="63"/>
      <c r="H119" s="63"/>
      <c r="I119" s="64"/>
      <c r="J119" s="63"/>
      <c r="K119" s="65" t="str">
        <f t="shared" ca="1" si="9"/>
        <v/>
      </c>
      <c r="L119" s="66" t="str">
        <f>IF($A119="","",IF(SUMPRODUCT(MAX((Histórico!$B$5:$B$1004=$A119)*Histórico!$A$5:$A$1004))=0,"—",SUMPRODUCT(MAX((Histórico!$B$5:$B$1004=$A119)*Histórico!$A$5:$A$1004))))</f>
        <v/>
      </c>
      <c r="M119" s="65" t="str">
        <f t="shared" ca="1" si="10"/>
        <v/>
      </c>
      <c r="N119" s="63"/>
      <c r="O119" s="62"/>
      <c r="P119" s="62"/>
      <c r="Q119" s="67" t="str">
        <f t="shared" si="11"/>
        <v/>
      </c>
    </row>
    <row r="120" spans="1:17" ht="15" customHeight="1" x14ac:dyDescent="0.3">
      <c r="A120" s="61"/>
      <c r="B120" s="62"/>
      <c r="C120" s="62"/>
      <c r="D120" s="62"/>
      <c r="E120" s="63"/>
      <c r="F120" s="62"/>
      <c r="G120" s="63"/>
      <c r="H120" s="63"/>
      <c r="I120" s="64"/>
      <c r="J120" s="63"/>
      <c r="K120" s="65" t="str">
        <f t="shared" ca="1" si="9"/>
        <v/>
      </c>
      <c r="L120" s="66" t="str">
        <f>IF($A120="","",IF(SUMPRODUCT(MAX((Histórico!$B$5:$B$1004=$A120)*Histórico!$A$5:$A$1004))=0,"—",SUMPRODUCT(MAX((Histórico!$B$5:$B$1004=$A120)*Histórico!$A$5:$A$1004))))</f>
        <v/>
      </c>
      <c r="M120" s="65" t="str">
        <f t="shared" ca="1" si="10"/>
        <v/>
      </c>
      <c r="N120" s="63"/>
      <c r="O120" s="62"/>
      <c r="P120" s="62"/>
      <c r="Q120" s="67" t="str">
        <f t="shared" si="11"/>
        <v/>
      </c>
    </row>
    <row r="121" spans="1:17" ht="15" customHeight="1" x14ac:dyDescent="0.3">
      <c r="A121" s="61"/>
      <c r="B121" s="62"/>
      <c r="C121" s="62"/>
      <c r="D121" s="62"/>
      <c r="E121" s="63"/>
      <c r="F121" s="62"/>
      <c r="G121" s="63"/>
      <c r="H121" s="63"/>
      <c r="I121" s="64"/>
      <c r="J121" s="63"/>
      <c r="K121" s="65" t="str">
        <f t="shared" ca="1" si="9"/>
        <v/>
      </c>
      <c r="L121" s="66" t="str">
        <f>IF($A121="","",IF(SUMPRODUCT(MAX((Histórico!$B$5:$B$1004=$A121)*Histórico!$A$5:$A$1004))=0,"—",SUMPRODUCT(MAX((Histórico!$B$5:$B$1004=$A121)*Histórico!$A$5:$A$1004))))</f>
        <v/>
      </c>
      <c r="M121" s="65" t="str">
        <f t="shared" ca="1" si="10"/>
        <v/>
      </c>
      <c r="N121" s="63"/>
      <c r="O121" s="62"/>
      <c r="P121" s="62"/>
      <c r="Q121" s="67" t="str">
        <f t="shared" si="11"/>
        <v/>
      </c>
    </row>
    <row r="122" spans="1:17" ht="15" customHeight="1" x14ac:dyDescent="0.3">
      <c r="A122" s="61"/>
      <c r="B122" s="62"/>
      <c r="C122" s="62"/>
      <c r="D122" s="62"/>
      <c r="E122" s="63"/>
      <c r="F122" s="62"/>
      <c r="G122" s="63"/>
      <c r="H122" s="63"/>
      <c r="I122" s="64"/>
      <c r="J122" s="63"/>
      <c r="K122" s="65" t="str">
        <f t="shared" ca="1" si="9"/>
        <v/>
      </c>
      <c r="L122" s="66" t="str">
        <f>IF($A122="","",IF(SUMPRODUCT(MAX((Histórico!$B$5:$B$1004=$A122)*Histórico!$A$5:$A$1004))=0,"—",SUMPRODUCT(MAX((Histórico!$B$5:$B$1004=$A122)*Histórico!$A$5:$A$1004))))</f>
        <v/>
      </c>
      <c r="M122" s="65" t="str">
        <f t="shared" ca="1" si="10"/>
        <v/>
      </c>
      <c r="N122" s="63"/>
      <c r="O122" s="62"/>
      <c r="P122" s="62"/>
      <c r="Q122" s="67" t="str">
        <f t="shared" si="11"/>
        <v/>
      </c>
    </row>
    <row r="123" spans="1:17" ht="15" customHeight="1" x14ac:dyDescent="0.3">
      <c r="A123" s="61"/>
      <c r="B123" s="62"/>
      <c r="C123" s="62"/>
      <c r="D123" s="62"/>
      <c r="E123" s="63"/>
      <c r="F123" s="62"/>
      <c r="G123" s="63"/>
      <c r="H123" s="63"/>
      <c r="I123" s="64"/>
      <c r="J123" s="63"/>
      <c r="K123" s="65" t="str">
        <f t="shared" ca="1" si="9"/>
        <v/>
      </c>
      <c r="L123" s="66" t="str">
        <f>IF($A123="","",IF(SUMPRODUCT(MAX((Histórico!$B$5:$B$1004=$A123)*Histórico!$A$5:$A$1004))=0,"—",SUMPRODUCT(MAX((Histórico!$B$5:$B$1004=$A123)*Histórico!$A$5:$A$1004))))</f>
        <v/>
      </c>
      <c r="M123" s="65" t="str">
        <f t="shared" ca="1" si="10"/>
        <v/>
      </c>
      <c r="N123" s="63"/>
      <c r="O123" s="62"/>
      <c r="P123" s="62"/>
      <c r="Q123" s="67" t="str">
        <f t="shared" si="11"/>
        <v/>
      </c>
    </row>
    <row r="124" spans="1:17" ht="15" customHeight="1" x14ac:dyDescent="0.3">
      <c r="A124" s="61"/>
      <c r="B124" s="62"/>
      <c r="C124" s="62"/>
      <c r="D124" s="62"/>
      <c r="E124" s="63"/>
      <c r="F124" s="62"/>
      <c r="G124" s="63"/>
      <c r="H124" s="63"/>
      <c r="I124" s="64"/>
      <c r="J124" s="63"/>
      <c r="K124" s="65" t="str">
        <f t="shared" ca="1" si="9"/>
        <v/>
      </c>
      <c r="L124" s="66" t="str">
        <f>IF($A124="","",IF(SUMPRODUCT(MAX((Histórico!$B$5:$B$1004=$A124)*Histórico!$A$5:$A$1004))=0,"—",SUMPRODUCT(MAX((Histórico!$B$5:$B$1004=$A124)*Histórico!$A$5:$A$1004))))</f>
        <v/>
      </c>
      <c r="M124" s="65" t="str">
        <f t="shared" ca="1" si="10"/>
        <v/>
      </c>
      <c r="N124" s="63"/>
      <c r="O124" s="62"/>
      <c r="P124" s="62"/>
      <c r="Q124" s="67" t="str">
        <f t="shared" si="11"/>
        <v/>
      </c>
    </row>
    <row r="125" spans="1:17" ht="15" customHeight="1" x14ac:dyDescent="0.3">
      <c r="A125" s="61"/>
      <c r="B125" s="62"/>
      <c r="C125" s="62"/>
      <c r="D125" s="62"/>
      <c r="E125" s="63"/>
      <c r="F125" s="62"/>
      <c r="G125" s="63"/>
      <c r="H125" s="63"/>
      <c r="I125" s="64"/>
      <c r="J125" s="63"/>
      <c r="K125" s="65" t="str">
        <f t="shared" ca="1" si="9"/>
        <v/>
      </c>
      <c r="L125" s="66" t="str">
        <f>IF($A125="","",IF(SUMPRODUCT(MAX((Histórico!$B$5:$B$1004=$A125)*Histórico!$A$5:$A$1004))=0,"—",SUMPRODUCT(MAX((Histórico!$B$5:$B$1004=$A125)*Histórico!$A$5:$A$1004))))</f>
        <v/>
      </c>
      <c r="M125" s="65" t="str">
        <f t="shared" ca="1" si="10"/>
        <v/>
      </c>
      <c r="N125" s="63"/>
      <c r="O125" s="62"/>
      <c r="P125" s="62"/>
      <c r="Q125" s="67" t="str">
        <f t="shared" si="11"/>
        <v/>
      </c>
    </row>
    <row r="126" spans="1:17" ht="15" customHeight="1" x14ac:dyDescent="0.3">
      <c r="A126" s="61"/>
      <c r="B126" s="62"/>
      <c r="C126" s="62"/>
      <c r="D126" s="62"/>
      <c r="E126" s="63"/>
      <c r="F126" s="62"/>
      <c r="G126" s="63"/>
      <c r="H126" s="63"/>
      <c r="I126" s="64"/>
      <c r="J126" s="63"/>
      <c r="K126" s="65" t="str">
        <f t="shared" ca="1" si="9"/>
        <v/>
      </c>
      <c r="L126" s="66" t="str">
        <f>IF($A126="","",IF(SUMPRODUCT(MAX((Histórico!$B$5:$B$1004=$A126)*Histórico!$A$5:$A$1004))=0,"—",SUMPRODUCT(MAX((Histórico!$B$5:$B$1004=$A126)*Histórico!$A$5:$A$1004))))</f>
        <v/>
      </c>
      <c r="M126" s="65" t="str">
        <f t="shared" ca="1" si="10"/>
        <v/>
      </c>
      <c r="N126" s="63"/>
      <c r="O126" s="62"/>
      <c r="P126" s="62"/>
      <c r="Q126" s="67" t="str">
        <f t="shared" si="11"/>
        <v/>
      </c>
    </row>
    <row r="127" spans="1:17" ht="15" customHeight="1" x14ac:dyDescent="0.3">
      <c r="A127" s="61"/>
      <c r="B127" s="62"/>
      <c r="C127" s="62"/>
      <c r="D127" s="62"/>
      <c r="E127" s="63"/>
      <c r="F127" s="62"/>
      <c r="G127" s="63"/>
      <c r="H127" s="63"/>
      <c r="I127" s="64"/>
      <c r="J127" s="63"/>
      <c r="K127" s="65" t="str">
        <f t="shared" ca="1" si="9"/>
        <v/>
      </c>
      <c r="L127" s="66" t="str">
        <f>IF($A127="","",IF(SUMPRODUCT(MAX((Histórico!$B$5:$B$1004=$A127)*Histórico!$A$5:$A$1004))=0,"—",SUMPRODUCT(MAX((Histórico!$B$5:$B$1004=$A127)*Histórico!$A$5:$A$1004))))</f>
        <v/>
      </c>
      <c r="M127" s="65" t="str">
        <f t="shared" ca="1" si="10"/>
        <v/>
      </c>
      <c r="N127" s="63"/>
      <c r="O127" s="62"/>
      <c r="P127" s="62"/>
      <c r="Q127" s="67" t="str">
        <f t="shared" si="11"/>
        <v/>
      </c>
    </row>
    <row r="128" spans="1:17" ht="15" customHeight="1" x14ac:dyDescent="0.3">
      <c r="A128" s="61"/>
      <c r="B128" s="62"/>
      <c r="C128" s="62"/>
      <c r="D128" s="62"/>
      <c r="E128" s="63"/>
      <c r="F128" s="62"/>
      <c r="G128" s="63"/>
      <c r="H128" s="63"/>
      <c r="I128" s="64"/>
      <c r="J128" s="63"/>
      <c r="K128" s="65" t="str">
        <f t="shared" ca="1" si="9"/>
        <v/>
      </c>
      <c r="L128" s="66" t="str">
        <f>IF($A128="","",IF(SUMPRODUCT(MAX((Histórico!$B$5:$B$1004=$A128)*Histórico!$A$5:$A$1004))=0,"—",SUMPRODUCT(MAX((Histórico!$B$5:$B$1004=$A128)*Histórico!$A$5:$A$1004))))</f>
        <v/>
      </c>
      <c r="M128" s="65" t="str">
        <f t="shared" ca="1" si="10"/>
        <v/>
      </c>
      <c r="N128" s="63"/>
      <c r="O128" s="62"/>
      <c r="P128" s="62"/>
      <c r="Q128" s="67" t="str">
        <f t="shared" si="11"/>
        <v/>
      </c>
    </row>
    <row r="129" spans="1:17" ht="15" customHeight="1" x14ac:dyDescent="0.3">
      <c r="A129" s="61"/>
      <c r="B129" s="62"/>
      <c r="C129" s="62"/>
      <c r="D129" s="62"/>
      <c r="E129" s="63"/>
      <c r="F129" s="62"/>
      <c r="G129" s="63"/>
      <c r="H129" s="63"/>
      <c r="I129" s="64"/>
      <c r="J129" s="63"/>
      <c r="K129" s="65" t="str">
        <f t="shared" ca="1" si="9"/>
        <v/>
      </c>
      <c r="L129" s="66" t="str">
        <f>IF($A129="","",IF(SUMPRODUCT(MAX((Histórico!$B$5:$B$1004=$A129)*Histórico!$A$5:$A$1004))=0,"—",SUMPRODUCT(MAX((Histórico!$B$5:$B$1004=$A129)*Histórico!$A$5:$A$1004))))</f>
        <v/>
      </c>
      <c r="M129" s="65" t="str">
        <f t="shared" ca="1" si="10"/>
        <v/>
      </c>
      <c r="N129" s="63"/>
      <c r="O129" s="62"/>
      <c r="P129" s="62"/>
      <c r="Q129" s="67" t="str">
        <f t="shared" si="11"/>
        <v/>
      </c>
    </row>
    <row r="130" spans="1:17" ht="15" customHeight="1" x14ac:dyDescent="0.3">
      <c r="A130" s="61"/>
      <c r="B130" s="62"/>
      <c r="C130" s="62"/>
      <c r="D130" s="62"/>
      <c r="E130" s="63"/>
      <c r="F130" s="62"/>
      <c r="G130" s="63"/>
      <c r="H130" s="63"/>
      <c r="I130" s="64"/>
      <c r="J130" s="63"/>
      <c r="K130" s="65" t="str">
        <f t="shared" ca="1" si="9"/>
        <v/>
      </c>
      <c r="L130" s="66" t="str">
        <f>IF($A130="","",IF(SUMPRODUCT(MAX((Histórico!$B$5:$B$1004=$A130)*Histórico!$A$5:$A$1004))=0,"—",SUMPRODUCT(MAX((Histórico!$B$5:$B$1004=$A130)*Histórico!$A$5:$A$1004))))</f>
        <v/>
      </c>
      <c r="M130" s="65" t="str">
        <f t="shared" ca="1" si="10"/>
        <v/>
      </c>
      <c r="N130" s="63"/>
      <c r="O130" s="62"/>
      <c r="P130" s="62"/>
      <c r="Q130" s="67" t="str">
        <f t="shared" si="11"/>
        <v/>
      </c>
    </row>
    <row r="131" spans="1:17" ht="15" customHeight="1" x14ac:dyDescent="0.3">
      <c r="A131" s="61"/>
      <c r="B131" s="62"/>
      <c r="C131" s="62"/>
      <c r="D131" s="62"/>
      <c r="E131" s="63"/>
      <c r="F131" s="62"/>
      <c r="G131" s="63"/>
      <c r="H131" s="63"/>
      <c r="I131" s="64"/>
      <c r="J131" s="63"/>
      <c r="K131" s="65" t="str">
        <f t="shared" ca="1" si="9"/>
        <v/>
      </c>
      <c r="L131" s="66" t="str">
        <f>IF($A131="","",IF(SUMPRODUCT(MAX((Histórico!$B$5:$B$1004=$A131)*Histórico!$A$5:$A$1004))=0,"—",SUMPRODUCT(MAX((Histórico!$B$5:$B$1004=$A131)*Histórico!$A$5:$A$1004))))</f>
        <v/>
      </c>
      <c r="M131" s="65" t="str">
        <f t="shared" ca="1" si="10"/>
        <v/>
      </c>
      <c r="N131" s="63"/>
      <c r="O131" s="62"/>
      <c r="P131" s="62"/>
      <c r="Q131" s="67" t="str">
        <f t="shared" si="11"/>
        <v/>
      </c>
    </row>
    <row r="132" spans="1:17" ht="15" customHeight="1" x14ac:dyDescent="0.3">
      <c r="A132" s="61"/>
      <c r="B132" s="62"/>
      <c r="C132" s="62"/>
      <c r="D132" s="62"/>
      <c r="E132" s="63"/>
      <c r="F132" s="62"/>
      <c r="G132" s="63"/>
      <c r="H132" s="63"/>
      <c r="I132" s="64"/>
      <c r="J132" s="63"/>
      <c r="K132" s="65" t="str">
        <f t="shared" ca="1" si="9"/>
        <v/>
      </c>
      <c r="L132" s="66" t="str">
        <f>IF($A132="","",IF(SUMPRODUCT(MAX((Histórico!$B$5:$B$1004=$A132)*Histórico!$A$5:$A$1004))=0,"—",SUMPRODUCT(MAX((Histórico!$B$5:$B$1004=$A132)*Histórico!$A$5:$A$1004))))</f>
        <v/>
      </c>
      <c r="M132" s="65" t="str">
        <f t="shared" ca="1" si="10"/>
        <v/>
      </c>
      <c r="N132" s="63"/>
      <c r="O132" s="62"/>
      <c r="P132" s="62"/>
      <c r="Q132" s="67" t="str">
        <f t="shared" si="11"/>
        <v/>
      </c>
    </row>
    <row r="133" spans="1:17" ht="15" customHeight="1" x14ac:dyDescent="0.3">
      <c r="A133" s="61"/>
      <c r="B133" s="62"/>
      <c r="C133" s="62"/>
      <c r="D133" s="62"/>
      <c r="E133" s="63"/>
      <c r="F133" s="62"/>
      <c r="G133" s="63"/>
      <c r="H133" s="63"/>
      <c r="I133" s="64"/>
      <c r="J133" s="63"/>
      <c r="K133" s="65" t="str">
        <f t="shared" ref="K133:K164" ca="1" si="12">IF($A133="","",IF(ISNUMBER(I133),I133-TODAY(),"—"))</f>
        <v/>
      </c>
      <c r="L133" s="66" t="str">
        <f>IF($A133="","",IF(SUMPRODUCT(MAX((Histórico!$B$5:$B$1004=$A133)*Histórico!$A$5:$A$1004))=0,"—",SUMPRODUCT(MAX((Histórico!$B$5:$B$1004=$A133)*Histórico!$A$5:$A$1004))))</f>
        <v/>
      </c>
      <c r="M133" s="65" t="str">
        <f t="shared" ref="M133:M164" ca="1" si="13">IF($A133="","",IF(ISNUMBER(L133),TODAY()-L133,"—"))</f>
        <v/>
      </c>
      <c r="N133" s="63"/>
      <c r="O133" s="62"/>
      <c r="P133" s="62"/>
      <c r="Q133" s="67" t="str">
        <f t="shared" ref="Q133:Q164" si="14">IF(N133="Bloqueado",ROW(),IF(N133="Atenção",10000+ROW(),""))</f>
        <v/>
      </c>
    </row>
    <row r="134" spans="1:17" ht="15" customHeight="1" x14ac:dyDescent="0.3">
      <c r="A134" s="61"/>
      <c r="B134" s="62"/>
      <c r="C134" s="62"/>
      <c r="D134" s="62"/>
      <c r="E134" s="63"/>
      <c r="F134" s="62"/>
      <c r="G134" s="63"/>
      <c r="H134" s="63"/>
      <c r="I134" s="64"/>
      <c r="J134" s="63"/>
      <c r="K134" s="65" t="str">
        <f t="shared" ca="1" si="12"/>
        <v/>
      </c>
      <c r="L134" s="66" t="str">
        <f>IF($A134="","",IF(SUMPRODUCT(MAX((Histórico!$B$5:$B$1004=$A134)*Histórico!$A$5:$A$1004))=0,"—",SUMPRODUCT(MAX((Histórico!$B$5:$B$1004=$A134)*Histórico!$A$5:$A$1004))))</f>
        <v/>
      </c>
      <c r="M134" s="65" t="str">
        <f t="shared" ca="1" si="13"/>
        <v/>
      </c>
      <c r="N134" s="63"/>
      <c r="O134" s="62"/>
      <c r="P134" s="62"/>
      <c r="Q134" s="67" t="str">
        <f t="shared" si="14"/>
        <v/>
      </c>
    </row>
    <row r="135" spans="1:17" ht="15" customHeight="1" x14ac:dyDescent="0.3">
      <c r="A135" s="61"/>
      <c r="B135" s="62"/>
      <c r="C135" s="62"/>
      <c r="D135" s="62"/>
      <c r="E135" s="63"/>
      <c r="F135" s="62"/>
      <c r="G135" s="63"/>
      <c r="H135" s="63"/>
      <c r="I135" s="64"/>
      <c r="J135" s="63"/>
      <c r="K135" s="65" t="str">
        <f t="shared" ca="1" si="12"/>
        <v/>
      </c>
      <c r="L135" s="66" t="str">
        <f>IF($A135="","",IF(SUMPRODUCT(MAX((Histórico!$B$5:$B$1004=$A135)*Histórico!$A$5:$A$1004))=0,"—",SUMPRODUCT(MAX((Histórico!$B$5:$B$1004=$A135)*Histórico!$A$5:$A$1004))))</f>
        <v/>
      </c>
      <c r="M135" s="65" t="str">
        <f t="shared" ca="1" si="13"/>
        <v/>
      </c>
      <c r="N135" s="63"/>
      <c r="O135" s="62"/>
      <c r="P135" s="62"/>
      <c r="Q135" s="67" t="str">
        <f t="shared" si="14"/>
        <v/>
      </c>
    </row>
    <row r="136" spans="1:17" ht="15" customHeight="1" x14ac:dyDescent="0.3">
      <c r="A136" s="61"/>
      <c r="B136" s="62"/>
      <c r="C136" s="62"/>
      <c r="D136" s="62"/>
      <c r="E136" s="63"/>
      <c r="F136" s="62"/>
      <c r="G136" s="63"/>
      <c r="H136" s="63"/>
      <c r="I136" s="64"/>
      <c r="J136" s="63"/>
      <c r="K136" s="65" t="str">
        <f t="shared" ca="1" si="12"/>
        <v/>
      </c>
      <c r="L136" s="66" t="str">
        <f>IF($A136="","",IF(SUMPRODUCT(MAX((Histórico!$B$5:$B$1004=$A136)*Histórico!$A$5:$A$1004))=0,"—",SUMPRODUCT(MAX((Histórico!$B$5:$B$1004=$A136)*Histórico!$A$5:$A$1004))))</f>
        <v/>
      </c>
      <c r="M136" s="65" t="str">
        <f t="shared" ca="1" si="13"/>
        <v/>
      </c>
      <c r="N136" s="63"/>
      <c r="O136" s="62"/>
      <c r="P136" s="62"/>
      <c r="Q136" s="67" t="str">
        <f t="shared" si="14"/>
        <v/>
      </c>
    </row>
    <row r="137" spans="1:17" ht="15" customHeight="1" x14ac:dyDescent="0.3">
      <c r="A137" s="61"/>
      <c r="B137" s="62"/>
      <c r="C137" s="62"/>
      <c r="D137" s="62"/>
      <c r="E137" s="63"/>
      <c r="F137" s="62"/>
      <c r="G137" s="63"/>
      <c r="H137" s="63"/>
      <c r="I137" s="64"/>
      <c r="J137" s="63"/>
      <c r="K137" s="65" t="str">
        <f t="shared" ca="1" si="12"/>
        <v/>
      </c>
      <c r="L137" s="66" t="str">
        <f>IF($A137="","",IF(SUMPRODUCT(MAX((Histórico!$B$5:$B$1004=$A137)*Histórico!$A$5:$A$1004))=0,"—",SUMPRODUCT(MAX((Histórico!$B$5:$B$1004=$A137)*Histórico!$A$5:$A$1004))))</f>
        <v/>
      </c>
      <c r="M137" s="65" t="str">
        <f t="shared" ca="1" si="13"/>
        <v/>
      </c>
      <c r="N137" s="63"/>
      <c r="O137" s="62"/>
      <c r="P137" s="62"/>
      <c r="Q137" s="67" t="str">
        <f t="shared" si="14"/>
        <v/>
      </c>
    </row>
    <row r="138" spans="1:17" ht="15" customHeight="1" x14ac:dyDescent="0.3">
      <c r="A138" s="61"/>
      <c r="B138" s="62"/>
      <c r="C138" s="62"/>
      <c r="D138" s="62"/>
      <c r="E138" s="63"/>
      <c r="F138" s="62"/>
      <c r="G138" s="63"/>
      <c r="H138" s="63"/>
      <c r="I138" s="64"/>
      <c r="J138" s="63"/>
      <c r="K138" s="65" t="str">
        <f t="shared" ca="1" si="12"/>
        <v/>
      </c>
      <c r="L138" s="66" t="str">
        <f>IF($A138="","",IF(SUMPRODUCT(MAX((Histórico!$B$5:$B$1004=$A138)*Histórico!$A$5:$A$1004))=0,"—",SUMPRODUCT(MAX((Histórico!$B$5:$B$1004=$A138)*Histórico!$A$5:$A$1004))))</f>
        <v/>
      </c>
      <c r="M138" s="65" t="str">
        <f t="shared" ca="1" si="13"/>
        <v/>
      </c>
      <c r="N138" s="63"/>
      <c r="O138" s="62"/>
      <c r="P138" s="62"/>
      <c r="Q138" s="67" t="str">
        <f t="shared" si="14"/>
        <v/>
      </c>
    </row>
    <row r="139" spans="1:17" ht="15" customHeight="1" x14ac:dyDescent="0.3">
      <c r="A139" s="61"/>
      <c r="B139" s="62"/>
      <c r="C139" s="62"/>
      <c r="D139" s="62"/>
      <c r="E139" s="63"/>
      <c r="F139" s="62"/>
      <c r="G139" s="63"/>
      <c r="H139" s="63"/>
      <c r="I139" s="64"/>
      <c r="J139" s="63"/>
      <c r="K139" s="65" t="str">
        <f t="shared" ca="1" si="12"/>
        <v/>
      </c>
      <c r="L139" s="66" t="str">
        <f>IF($A139="","",IF(SUMPRODUCT(MAX((Histórico!$B$5:$B$1004=$A139)*Histórico!$A$5:$A$1004))=0,"—",SUMPRODUCT(MAX((Histórico!$B$5:$B$1004=$A139)*Histórico!$A$5:$A$1004))))</f>
        <v/>
      </c>
      <c r="M139" s="65" t="str">
        <f t="shared" ca="1" si="13"/>
        <v/>
      </c>
      <c r="N139" s="63"/>
      <c r="O139" s="62"/>
      <c r="P139" s="62"/>
      <c r="Q139" s="67" t="str">
        <f t="shared" si="14"/>
        <v/>
      </c>
    </row>
    <row r="140" spans="1:17" ht="15" customHeight="1" x14ac:dyDescent="0.3">
      <c r="A140" s="61"/>
      <c r="B140" s="62"/>
      <c r="C140" s="62"/>
      <c r="D140" s="62"/>
      <c r="E140" s="63"/>
      <c r="F140" s="62"/>
      <c r="G140" s="63"/>
      <c r="H140" s="63"/>
      <c r="I140" s="64"/>
      <c r="J140" s="63"/>
      <c r="K140" s="65" t="str">
        <f t="shared" ca="1" si="12"/>
        <v/>
      </c>
      <c r="L140" s="66" t="str">
        <f>IF($A140="","",IF(SUMPRODUCT(MAX((Histórico!$B$5:$B$1004=$A140)*Histórico!$A$5:$A$1004))=0,"—",SUMPRODUCT(MAX((Histórico!$B$5:$B$1004=$A140)*Histórico!$A$5:$A$1004))))</f>
        <v/>
      </c>
      <c r="M140" s="65" t="str">
        <f t="shared" ca="1" si="13"/>
        <v/>
      </c>
      <c r="N140" s="63"/>
      <c r="O140" s="62"/>
      <c r="P140" s="62"/>
      <c r="Q140" s="67" t="str">
        <f t="shared" si="14"/>
        <v/>
      </c>
    </row>
    <row r="141" spans="1:17" ht="15" customHeight="1" x14ac:dyDescent="0.3">
      <c r="A141" s="61"/>
      <c r="B141" s="62"/>
      <c r="C141" s="62"/>
      <c r="D141" s="62"/>
      <c r="E141" s="63"/>
      <c r="F141" s="62"/>
      <c r="G141" s="63"/>
      <c r="H141" s="63"/>
      <c r="I141" s="64"/>
      <c r="J141" s="63"/>
      <c r="K141" s="65" t="str">
        <f t="shared" ca="1" si="12"/>
        <v/>
      </c>
      <c r="L141" s="66" t="str">
        <f>IF($A141="","",IF(SUMPRODUCT(MAX((Histórico!$B$5:$B$1004=$A141)*Histórico!$A$5:$A$1004))=0,"—",SUMPRODUCT(MAX((Histórico!$B$5:$B$1004=$A141)*Histórico!$A$5:$A$1004))))</f>
        <v/>
      </c>
      <c r="M141" s="65" t="str">
        <f t="shared" ca="1" si="13"/>
        <v/>
      </c>
      <c r="N141" s="63"/>
      <c r="O141" s="62"/>
      <c r="P141" s="62"/>
      <c r="Q141" s="67" t="str">
        <f t="shared" si="14"/>
        <v/>
      </c>
    </row>
    <row r="142" spans="1:17" ht="15" customHeight="1" x14ac:dyDescent="0.3">
      <c r="A142" s="61"/>
      <c r="B142" s="62"/>
      <c r="C142" s="62"/>
      <c r="D142" s="62"/>
      <c r="E142" s="63"/>
      <c r="F142" s="62"/>
      <c r="G142" s="63"/>
      <c r="H142" s="63"/>
      <c r="I142" s="64"/>
      <c r="J142" s="63"/>
      <c r="K142" s="65" t="str">
        <f t="shared" ca="1" si="12"/>
        <v/>
      </c>
      <c r="L142" s="66" t="str">
        <f>IF($A142="","",IF(SUMPRODUCT(MAX((Histórico!$B$5:$B$1004=$A142)*Histórico!$A$5:$A$1004))=0,"—",SUMPRODUCT(MAX((Histórico!$B$5:$B$1004=$A142)*Histórico!$A$5:$A$1004))))</f>
        <v/>
      </c>
      <c r="M142" s="65" t="str">
        <f t="shared" ca="1" si="13"/>
        <v/>
      </c>
      <c r="N142" s="63"/>
      <c r="O142" s="62"/>
      <c r="P142" s="62"/>
      <c r="Q142" s="67" t="str">
        <f t="shared" si="14"/>
        <v/>
      </c>
    </row>
    <row r="143" spans="1:17" ht="15" customHeight="1" x14ac:dyDescent="0.3">
      <c r="A143" s="61"/>
      <c r="B143" s="62"/>
      <c r="C143" s="62"/>
      <c r="D143" s="62"/>
      <c r="E143" s="63"/>
      <c r="F143" s="62"/>
      <c r="G143" s="63"/>
      <c r="H143" s="63"/>
      <c r="I143" s="64"/>
      <c r="J143" s="63"/>
      <c r="K143" s="65" t="str">
        <f t="shared" ca="1" si="12"/>
        <v/>
      </c>
      <c r="L143" s="66" t="str">
        <f>IF($A143="","",IF(SUMPRODUCT(MAX((Histórico!$B$5:$B$1004=$A143)*Histórico!$A$5:$A$1004))=0,"—",SUMPRODUCT(MAX((Histórico!$B$5:$B$1004=$A143)*Histórico!$A$5:$A$1004))))</f>
        <v/>
      </c>
      <c r="M143" s="65" t="str">
        <f t="shared" ca="1" si="13"/>
        <v/>
      </c>
      <c r="N143" s="63"/>
      <c r="O143" s="62"/>
      <c r="P143" s="62"/>
      <c r="Q143" s="67" t="str">
        <f t="shared" si="14"/>
        <v/>
      </c>
    </row>
    <row r="144" spans="1:17" ht="15" customHeight="1" x14ac:dyDescent="0.3">
      <c r="A144" s="61"/>
      <c r="B144" s="62"/>
      <c r="C144" s="62"/>
      <c r="D144" s="62"/>
      <c r="E144" s="63"/>
      <c r="F144" s="62"/>
      <c r="G144" s="63"/>
      <c r="H144" s="63"/>
      <c r="I144" s="64"/>
      <c r="J144" s="63"/>
      <c r="K144" s="65" t="str">
        <f t="shared" ca="1" si="12"/>
        <v/>
      </c>
      <c r="L144" s="66" t="str">
        <f>IF($A144="","",IF(SUMPRODUCT(MAX((Histórico!$B$5:$B$1004=$A144)*Histórico!$A$5:$A$1004))=0,"—",SUMPRODUCT(MAX((Histórico!$B$5:$B$1004=$A144)*Histórico!$A$5:$A$1004))))</f>
        <v/>
      </c>
      <c r="M144" s="65" t="str">
        <f t="shared" ca="1" si="13"/>
        <v/>
      </c>
      <c r="N144" s="63"/>
      <c r="O144" s="62"/>
      <c r="P144" s="62"/>
      <c r="Q144" s="67" t="str">
        <f t="shared" si="14"/>
        <v/>
      </c>
    </row>
    <row r="145" spans="1:17" ht="15" customHeight="1" x14ac:dyDescent="0.3">
      <c r="A145" s="61"/>
      <c r="B145" s="62"/>
      <c r="C145" s="62"/>
      <c r="D145" s="62"/>
      <c r="E145" s="63"/>
      <c r="F145" s="62"/>
      <c r="G145" s="63"/>
      <c r="H145" s="63"/>
      <c r="I145" s="64"/>
      <c r="J145" s="63"/>
      <c r="K145" s="65" t="str">
        <f t="shared" ca="1" si="12"/>
        <v/>
      </c>
      <c r="L145" s="66" t="str">
        <f>IF($A145="","",IF(SUMPRODUCT(MAX((Histórico!$B$5:$B$1004=$A145)*Histórico!$A$5:$A$1004))=0,"—",SUMPRODUCT(MAX((Histórico!$B$5:$B$1004=$A145)*Histórico!$A$5:$A$1004))))</f>
        <v/>
      </c>
      <c r="M145" s="65" t="str">
        <f t="shared" ca="1" si="13"/>
        <v/>
      </c>
      <c r="N145" s="63"/>
      <c r="O145" s="62"/>
      <c r="P145" s="62"/>
      <c r="Q145" s="67" t="str">
        <f t="shared" si="14"/>
        <v/>
      </c>
    </row>
    <row r="146" spans="1:17" ht="15" customHeight="1" x14ac:dyDescent="0.3">
      <c r="A146" s="61"/>
      <c r="B146" s="62"/>
      <c r="C146" s="62"/>
      <c r="D146" s="62"/>
      <c r="E146" s="63"/>
      <c r="F146" s="62"/>
      <c r="G146" s="63"/>
      <c r="H146" s="63"/>
      <c r="I146" s="64"/>
      <c r="J146" s="63"/>
      <c r="K146" s="65" t="str">
        <f t="shared" ca="1" si="12"/>
        <v/>
      </c>
      <c r="L146" s="66" t="str">
        <f>IF($A146="","",IF(SUMPRODUCT(MAX((Histórico!$B$5:$B$1004=$A146)*Histórico!$A$5:$A$1004))=0,"—",SUMPRODUCT(MAX((Histórico!$B$5:$B$1004=$A146)*Histórico!$A$5:$A$1004))))</f>
        <v/>
      </c>
      <c r="M146" s="65" t="str">
        <f t="shared" ca="1" si="13"/>
        <v/>
      </c>
      <c r="N146" s="63"/>
      <c r="O146" s="62"/>
      <c r="P146" s="62"/>
      <c r="Q146" s="67" t="str">
        <f t="shared" si="14"/>
        <v/>
      </c>
    </row>
    <row r="147" spans="1:17" ht="15" customHeight="1" x14ac:dyDescent="0.3">
      <c r="A147" s="61"/>
      <c r="B147" s="62"/>
      <c r="C147" s="62"/>
      <c r="D147" s="62"/>
      <c r="E147" s="63"/>
      <c r="F147" s="62"/>
      <c r="G147" s="63"/>
      <c r="H147" s="63"/>
      <c r="I147" s="64"/>
      <c r="J147" s="63"/>
      <c r="K147" s="65" t="str">
        <f t="shared" ca="1" si="12"/>
        <v/>
      </c>
      <c r="L147" s="66" t="str">
        <f>IF($A147="","",IF(SUMPRODUCT(MAX((Histórico!$B$5:$B$1004=$A147)*Histórico!$A$5:$A$1004))=0,"—",SUMPRODUCT(MAX((Histórico!$B$5:$B$1004=$A147)*Histórico!$A$5:$A$1004))))</f>
        <v/>
      </c>
      <c r="M147" s="65" t="str">
        <f t="shared" ca="1" si="13"/>
        <v/>
      </c>
      <c r="N147" s="63"/>
      <c r="O147" s="62"/>
      <c r="P147" s="62"/>
      <c r="Q147" s="67" t="str">
        <f t="shared" si="14"/>
        <v/>
      </c>
    </row>
    <row r="148" spans="1:17" ht="15" customHeight="1" x14ac:dyDescent="0.3">
      <c r="A148" s="61"/>
      <c r="B148" s="62"/>
      <c r="C148" s="62"/>
      <c r="D148" s="62"/>
      <c r="E148" s="63"/>
      <c r="F148" s="62"/>
      <c r="G148" s="63"/>
      <c r="H148" s="63"/>
      <c r="I148" s="64"/>
      <c r="J148" s="63"/>
      <c r="K148" s="65" t="str">
        <f t="shared" ca="1" si="12"/>
        <v/>
      </c>
      <c r="L148" s="66" t="str">
        <f>IF($A148="","",IF(SUMPRODUCT(MAX((Histórico!$B$5:$B$1004=$A148)*Histórico!$A$5:$A$1004))=0,"—",SUMPRODUCT(MAX((Histórico!$B$5:$B$1004=$A148)*Histórico!$A$5:$A$1004))))</f>
        <v/>
      </c>
      <c r="M148" s="65" t="str">
        <f t="shared" ca="1" si="13"/>
        <v/>
      </c>
      <c r="N148" s="63"/>
      <c r="O148" s="62"/>
      <c r="P148" s="62"/>
      <c r="Q148" s="67" t="str">
        <f t="shared" si="14"/>
        <v/>
      </c>
    </row>
    <row r="149" spans="1:17" ht="15" customHeight="1" x14ac:dyDescent="0.3">
      <c r="A149" s="61"/>
      <c r="B149" s="62"/>
      <c r="C149" s="62"/>
      <c r="D149" s="62"/>
      <c r="E149" s="63"/>
      <c r="F149" s="62"/>
      <c r="G149" s="63"/>
      <c r="H149" s="63"/>
      <c r="I149" s="64"/>
      <c r="J149" s="63"/>
      <c r="K149" s="65" t="str">
        <f t="shared" ca="1" si="12"/>
        <v/>
      </c>
      <c r="L149" s="66" t="str">
        <f>IF($A149="","",IF(SUMPRODUCT(MAX((Histórico!$B$5:$B$1004=$A149)*Histórico!$A$5:$A$1004))=0,"—",SUMPRODUCT(MAX((Histórico!$B$5:$B$1004=$A149)*Histórico!$A$5:$A$1004))))</f>
        <v/>
      </c>
      <c r="M149" s="65" t="str">
        <f t="shared" ca="1" si="13"/>
        <v/>
      </c>
      <c r="N149" s="63"/>
      <c r="O149" s="62"/>
      <c r="P149" s="62"/>
      <c r="Q149" s="67" t="str">
        <f t="shared" si="14"/>
        <v/>
      </c>
    </row>
    <row r="150" spans="1:17" ht="15" customHeight="1" x14ac:dyDescent="0.3">
      <c r="A150" s="61"/>
      <c r="B150" s="62"/>
      <c r="C150" s="62"/>
      <c r="D150" s="62"/>
      <c r="E150" s="63"/>
      <c r="F150" s="62"/>
      <c r="G150" s="63"/>
      <c r="H150" s="63"/>
      <c r="I150" s="64"/>
      <c r="J150" s="63"/>
      <c r="K150" s="65" t="str">
        <f t="shared" ca="1" si="12"/>
        <v/>
      </c>
      <c r="L150" s="66" t="str">
        <f>IF($A150="","",IF(SUMPRODUCT(MAX((Histórico!$B$5:$B$1004=$A150)*Histórico!$A$5:$A$1004))=0,"—",SUMPRODUCT(MAX((Histórico!$B$5:$B$1004=$A150)*Histórico!$A$5:$A$1004))))</f>
        <v/>
      </c>
      <c r="M150" s="65" t="str">
        <f t="shared" ca="1" si="13"/>
        <v/>
      </c>
      <c r="N150" s="63"/>
      <c r="O150" s="62"/>
      <c r="P150" s="62"/>
      <c r="Q150" s="67" t="str">
        <f t="shared" si="14"/>
        <v/>
      </c>
    </row>
    <row r="151" spans="1:17" ht="15" customHeight="1" x14ac:dyDescent="0.3">
      <c r="A151" s="61"/>
      <c r="B151" s="62"/>
      <c r="C151" s="62"/>
      <c r="D151" s="62"/>
      <c r="E151" s="63"/>
      <c r="F151" s="62"/>
      <c r="G151" s="63"/>
      <c r="H151" s="63"/>
      <c r="I151" s="64"/>
      <c r="J151" s="63"/>
      <c r="K151" s="65" t="str">
        <f t="shared" ca="1" si="12"/>
        <v/>
      </c>
      <c r="L151" s="66" t="str">
        <f>IF($A151="","",IF(SUMPRODUCT(MAX((Histórico!$B$5:$B$1004=$A151)*Histórico!$A$5:$A$1004))=0,"—",SUMPRODUCT(MAX((Histórico!$B$5:$B$1004=$A151)*Histórico!$A$5:$A$1004))))</f>
        <v/>
      </c>
      <c r="M151" s="65" t="str">
        <f t="shared" ca="1" si="13"/>
        <v/>
      </c>
      <c r="N151" s="63"/>
      <c r="O151" s="62"/>
      <c r="P151" s="62"/>
      <c r="Q151" s="67" t="str">
        <f t="shared" si="14"/>
        <v/>
      </c>
    </row>
    <row r="152" spans="1:17" ht="15" customHeight="1" x14ac:dyDescent="0.3">
      <c r="A152" s="61"/>
      <c r="B152" s="62"/>
      <c r="C152" s="62"/>
      <c r="D152" s="62"/>
      <c r="E152" s="63"/>
      <c r="F152" s="62"/>
      <c r="G152" s="63"/>
      <c r="H152" s="63"/>
      <c r="I152" s="64"/>
      <c r="J152" s="63"/>
      <c r="K152" s="65" t="str">
        <f t="shared" ca="1" si="12"/>
        <v/>
      </c>
      <c r="L152" s="66" t="str">
        <f>IF($A152="","",IF(SUMPRODUCT(MAX((Histórico!$B$5:$B$1004=$A152)*Histórico!$A$5:$A$1004))=0,"—",SUMPRODUCT(MAX((Histórico!$B$5:$B$1004=$A152)*Histórico!$A$5:$A$1004))))</f>
        <v/>
      </c>
      <c r="M152" s="65" t="str">
        <f t="shared" ca="1" si="13"/>
        <v/>
      </c>
      <c r="N152" s="63"/>
      <c r="O152" s="62"/>
      <c r="P152" s="62"/>
      <c r="Q152" s="67" t="str">
        <f t="shared" si="14"/>
        <v/>
      </c>
    </row>
    <row r="153" spans="1:17" ht="15" customHeight="1" x14ac:dyDescent="0.3">
      <c r="A153" s="61"/>
      <c r="B153" s="62"/>
      <c r="C153" s="62"/>
      <c r="D153" s="62"/>
      <c r="E153" s="63"/>
      <c r="F153" s="62"/>
      <c r="G153" s="63"/>
      <c r="H153" s="63"/>
      <c r="I153" s="64"/>
      <c r="J153" s="63"/>
      <c r="K153" s="65" t="str">
        <f t="shared" ca="1" si="12"/>
        <v/>
      </c>
      <c r="L153" s="66" t="str">
        <f>IF($A153="","",IF(SUMPRODUCT(MAX((Histórico!$B$5:$B$1004=$A153)*Histórico!$A$5:$A$1004))=0,"—",SUMPRODUCT(MAX((Histórico!$B$5:$B$1004=$A153)*Histórico!$A$5:$A$1004))))</f>
        <v/>
      </c>
      <c r="M153" s="65" t="str">
        <f t="shared" ca="1" si="13"/>
        <v/>
      </c>
      <c r="N153" s="63"/>
      <c r="O153" s="62"/>
      <c r="P153" s="62"/>
      <c r="Q153" s="67" t="str">
        <f t="shared" si="14"/>
        <v/>
      </c>
    </row>
    <row r="154" spans="1:17" ht="15" customHeight="1" x14ac:dyDescent="0.3">
      <c r="A154" s="61"/>
      <c r="B154" s="62"/>
      <c r="C154" s="62"/>
      <c r="D154" s="62"/>
      <c r="E154" s="63"/>
      <c r="F154" s="62"/>
      <c r="G154" s="63"/>
      <c r="H154" s="63"/>
      <c r="I154" s="64"/>
      <c r="J154" s="63"/>
      <c r="K154" s="65" t="str">
        <f t="shared" ca="1" si="12"/>
        <v/>
      </c>
      <c r="L154" s="66" t="str">
        <f>IF($A154="","",IF(SUMPRODUCT(MAX((Histórico!$B$5:$B$1004=$A154)*Histórico!$A$5:$A$1004))=0,"—",SUMPRODUCT(MAX((Histórico!$B$5:$B$1004=$A154)*Histórico!$A$5:$A$1004))))</f>
        <v/>
      </c>
      <c r="M154" s="65" t="str">
        <f t="shared" ca="1" si="13"/>
        <v/>
      </c>
      <c r="N154" s="63"/>
      <c r="O154" s="62"/>
      <c r="P154" s="62"/>
      <c r="Q154" s="67" t="str">
        <f t="shared" si="14"/>
        <v/>
      </c>
    </row>
    <row r="155" spans="1:17" ht="15" customHeight="1" x14ac:dyDescent="0.3">
      <c r="A155" s="61"/>
      <c r="B155" s="62"/>
      <c r="C155" s="62"/>
      <c r="D155" s="62"/>
      <c r="E155" s="63"/>
      <c r="F155" s="62"/>
      <c r="G155" s="63"/>
      <c r="H155" s="63"/>
      <c r="I155" s="64"/>
      <c r="J155" s="63"/>
      <c r="K155" s="65" t="str">
        <f t="shared" ca="1" si="12"/>
        <v/>
      </c>
      <c r="L155" s="66" t="str">
        <f>IF($A155="","",IF(SUMPRODUCT(MAX((Histórico!$B$5:$B$1004=$A155)*Histórico!$A$5:$A$1004))=0,"—",SUMPRODUCT(MAX((Histórico!$B$5:$B$1004=$A155)*Histórico!$A$5:$A$1004))))</f>
        <v/>
      </c>
      <c r="M155" s="65" t="str">
        <f t="shared" ca="1" si="13"/>
        <v/>
      </c>
      <c r="N155" s="63"/>
      <c r="O155" s="62"/>
      <c r="P155" s="62"/>
      <c r="Q155" s="67" t="str">
        <f t="shared" si="14"/>
        <v/>
      </c>
    </row>
    <row r="156" spans="1:17" ht="15" customHeight="1" x14ac:dyDescent="0.3">
      <c r="A156" s="61"/>
      <c r="B156" s="62"/>
      <c r="C156" s="62"/>
      <c r="D156" s="62"/>
      <c r="E156" s="63"/>
      <c r="F156" s="62"/>
      <c r="G156" s="63"/>
      <c r="H156" s="63"/>
      <c r="I156" s="64"/>
      <c r="J156" s="63"/>
      <c r="K156" s="65" t="str">
        <f t="shared" ca="1" si="12"/>
        <v/>
      </c>
      <c r="L156" s="66" t="str">
        <f>IF($A156="","",IF(SUMPRODUCT(MAX((Histórico!$B$5:$B$1004=$A156)*Histórico!$A$5:$A$1004))=0,"—",SUMPRODUCT(MAX((Histórico!$B$5:$B$1004=$A156)*Histórico!$A$5:$A$1004))))</f>
        <v/>
      </c>
      <c r="M156" s="65" t="str">
        <f t="shared" ca="1" si="13"/>
        <v/>
      </c>
      <c r="N156" s="63"/>
      <c r="O156" s="62"/>
      <c r="P156" s="62"/>
      <c r="Q156" s="67" t="str">
        <f t="shared" si="14"/>
        <v/>
      </c>
    </row>
    <row r="157" spans="1:17" ht="15" customHeight="1" x14ac:dyDescent="0.3">
      <c r="A157" s="61"/>
      <c r="B157" s="62"/>
      <c r="C157" s="62"/>
      <c r="D157" s="62"/>
      <c r="E157" s="63"/>
      <c r="F157" s="62"/>
      <c r="G157" s="63"/>
      <c r="H157" s="63"/>
      <c r="I157" s="64"/>
      <c r="J157" s="63"/>
      <c r="K157" s="65" t="str">
        <f t="shared" ca="1" si="12"/>
        <v/>
      </c>
      <c r="L157" s="66" t="str">
        <f>IF($A157="","",IF(SUMPRODUCT(MAX((Histórico!$B$5:$B$1004=$A157)*Histórico!$A$5:$A$1004))=0,"—",SUMPRODUCT(MAX((Histórico!$B$5:$B$1004=$A157)*Histórico!$A$5:$A$1004))))</f>
        <v/>
      </c>
      <c r="M157" s="65" t="str">
        <f t="shared" ca="1" si="13"/>
        <v/>
      </c>
      <c r="N157" s="63"/>
      <c r="O157" s="62"/>
      <c r="P157" s="62"/>
      <c r="Q157" s="67" t="str">
        <f t="shared" si="14"/>
        <v/>
      </c>
    </row>
    <row r="158" spans="1:17" ht="15" customHeight="1" x14ac:dyDescent="0.3">
      <c r="A158" s="61"/>
      <c r="B158" s="62"/>
      <c r="C158" s="62"/>
      <c r="D158" s="62"/>
      <c r="E158" s="63"/>
      <c r="F158" s="62"/>
      <c r="G158" s="63"/>
      <c r="H158" s="63"/>
      <c r="I158" s="64"/>
      <c r="J158" s="63"/>
      <c r="K158" s="65" t="str">
        <f t="shared" ca="1" si="12"/>
        <v/>
      </c>
      <c r="L158" s="66" t="str">
        <f>IF($A158="","",IF(SUMPRODUCT(MAX((Histórico!$B$5:$B$1004=$A158)*Histórico!$A$5:$A$1004))=0,"—",SUMPRODUCT(MAX((Histórico!$B$5:$B$1004=$A158)*Histórico!$A$5:$A$1004))))</f>
        <v/>
      </c>
      <c r="M158" s="65" t="str">
        <f t="shared" ca="1" si="13"/>
        <v/>
      </c>
      <c r="N158" s="63"/>
      <c r="O158" s="62"/>
      <c r="P158" s="62"/>
      <c r="Q158" s="67" t="str">
        <f t="shared" si="14"/>
        <v/>
      </c>
    </row>
    <row r="159" spans="1:17" ht="15" customHeight="1" x14ac:dyDescent="0.3">
      <c r="A159" s="61"/>
      <c r="B159" s="62"/>
      <c r="C159" s="62"/>
      <c r="D159" s="62"/>
      <c r="E159" s="63"/>
      <c r="F159" s="62"/>
      <c r="G159" s="63"/>
      <c r="H159" s="63"/>
      <c r="I159" s="64"/>
      <c r="J159" s="63"/>
      <c r="K159" s="65" t="str">
        <f t="shared" ca="1" si="12"/>
        <v/>
      </c>
      <c r="L159" s="66" t="str">
        <f>IF($A159="","",IF(SUMPRODUCT(MAX((Histórico!$B$5:$B$1004=$A159)*Histórico!$A$5:$A$1004))=0,"—",SUMPRODUCT(MAX((Histórico!$B$5:$B$1004=$A159)*Histórico!$A$5:$A$1004))))</f>
        <v/>
      </c>
      <c r="M159" s="65" t="str">
        <f t="shared" ca="1" si="13"/>
        <v/>
      </c>
      <c r="N159" s="63"/>
      <c r="O159" s="62"/>
      <c r="P159" s="62"/>
      <c r="Q159" s="67" t="str">
        <f t="shared" si="14"/>
        <v/>
      </c>
    </row>
    <row r="160" spans="1:17" ht="15" customHeight="1" x14ac:dyDescent="0.3">
      <c r="A160" s="61"/>
      <c r="B160" s="62"/>
      <c r="C160" s="62"/>
      <c r="D160" s="62"/>
      <c r="E160" s="63"/>
      <c r="F160" s="62"/>
      <c r="G160" s="63"/>
      <c r="H160" s="63"/>
      <c r="I160" s="64"/>
      <c r="J160" s="63"/>
      <c r="K160" s="65" t="str">
        <f t="shared" ca="1" si="12"/>
        <v/>
      </c>
      <c r="L160" s="66" t="str">
        <f>IF($A160="","",IF(SUMPRODUCT(MAX((Histórico!$B$5:$B$1004=$A160)*Histórico!$A$5:$A$1004))=0,"—",SUMPRODUCT(MAX((Histórico!$B$5:$B$1004=$A160)*Histórico!$A$5:$A$1004))))</f>
        <v/>
      </c>
      <c r="M160" s="65" t="str">
        <f t="shared" ca="1" si="13"/>
        <v/>
      </c>
      <c r="N160" s="63"/>
      <c r="O160" s="62"/>
      <c r="P160" s="62"/>
      <c r="Q160" s="67" t="str">
        <f t="shared" si="14"/>
        <v/>
      </c>
    </row>
    <row r="161" spans="1:17" ht="15" customHeight="1" x14ac:dyDescent="0.3">
      <c r="A161" s="61"/>
      <c r="B161" s="62"/>
      <c r="C161" s="62"/>
      <c r="D161" s="62"/>
      <c r="E161" s="63"/>
      <c r="F161" s="62"/>
      <c r="G161" s="63"/>
      <c r="H161" s="63"/>
      <c r="I161" s="64"/>
      <c r="J161" s="63"/>
      <c r="K161" s="65" t="str">
        <f t="shared" ca="1" si="12"/>
        <v/>
      </c>
      <c r="L161" s="66" t="str">
        <f>IF($A161="","",IF(SUMPRODUCT(MAX((Histórico!$B$5:$B$1004=$A161)*Histórico!$A$5:$A$1004))=0,"—",SUMPRODUCT(MAX((Histórico!$B$5:$B$1004=$A161)*Histórico!$A$5:$A$1004))))</f>
        <v/>
      </c>
      <c r="M161" s="65" t="str">
        <f t="shared" ca="1" si="13"/>
        <v/>
      </c>
      <c r="N161" s="63"/>
      <c r="O161" s="62"/>
      <c r="P161" s="62"/>
      <c r="Q161" s="67" t="str">
        <f t="shared" si="14"/>
        <v/>
      </c>
    </row>
    <row r="162" spans="1:17" ht="15" customHeight="1" x14ac:dyDescent="0.3">
      <c r="A162" s="61"/>
      <c r="B162" s="62"/>
      <c r="C162" s="62"/>
      <c r="D162" s="62"/>
      <c r="E162" s="63"/>
      <c r="F162" s="62"/>
      <c r="G162" s="63"/>
      <c r="H162" s="63"/>
      <c r="I162" s="64"/>
      <c r="J162" s="63"/>
      <c r="K162" s="65" t="str">
        <f t="shared" ca="1" si="12"/>
        <v/>
      </c>
      <c r="L162" s="66" t="str">
        <f>IF($A162="","",IF(SUMPRODUCT(MAX((Histórico!$B$5:$B$1004=$A162)*Histórico!$A$5:$A$1004))=0,"—",SUMPRODUCT(MAX((Histórico!$B$5:$B$1004=$A162)*Histórico!$A$5:$A$1004))))</f>
        <v/>
      </c>
      <c r="M162" s="65" t="str">
        <f t="shared" ca="1" si="13"/>
        <v/>
      </c>
      <c r="N162" s="63"/>
      <c r="O162" s="62"/>
      <c r="P162" s="62"/>
      <c r="Q162" s="67" t="str">
        <f t="shared" si="14"/>
        <v/>
      </c>
    </row>
    <row r="163" spans="1:17" ht="15" customHeight="1" x14ac:dyDescent="0.3">
      <c r="A163" s="61"/>
      <c r="B163" s="62"/>
      <c r="C163" s="62"/>
      <c r="D163" s="62"/>
      <c r="E163" s="63"/>
      <c r="F163" s="62"/>
      <c r="G163" s="63"/>
      <c r="H163" s="63"/>
      <c r="I163" s="64"/>
      <c r="J163" s="63"/>
      <c r="K163" s="65" t="str">
        <f t="shared" ca="1" si="12"/>
        <v/>
      </c>
      <c r="L163" s="66" t="str">
        <f>IF($A163="","",IF(SUMPRODUCT(MAX((Histórico!$B$5:$B$1004=$A163)*Histórico!$A$5:$A$1004))=0,"—",SUMPRODUCT(MAX((Histórico!$B$5:$B$1004=$A163)*Histórico!$A$5:$A$1004))))</f>
        <v/>
      </c>
      <c r="M163" s="65" t="str">
        <f t="shared" ca="1" si="13"/>
        <v/>
      </c>
      <c r="N163" s="63"/>
      <c r="O163" s="62"/>
      <c r="P163" s="62"/>
      <c r="Q163" s="67" t="str">
        <f t="shared" si="14"/>
        <v/>
      </c>
    </row>
    <row r="164" spans="1:17" ht="15" customHeight="1" x14ac:dyDescent="0.3">
      <c r="A164" s="61"/>
      <c r="B164" s="62"/>
      <c r="C164" s="62"/>
      <c r="D164" s="62"/>
      <c r="E164" s="63"/>
      <c r="F164" s="62"/>
      <c r="G164" s="63"/>
      <c r="H164" s="63"/>
      <c r="I164" s="64"/>
      <c r="J164" s="63"/>
      <c r="K164" s="65" t="str">
        <f t="shared" ca="1" si="12"/>
        <v/>
      </c>
      <c r="L164" s="66" t="str">
        <f>IF($A164="","",IF(SUMPRODUCT(MAX((Histórico!$B$5:$B$1004=$A164)*Histórico!$A$5:$A$1004))=0,"—",SUMPRODUCT(MAX((Histórico!$B$5:$B$1004=$A164)*Histórico!$A$5:$A$1004))))</f>
        <v/>
      </c>
      <c r="M164" s="65" t="str">
        <f t="shared" ca="1" si="13"/>
        <v/>
      </c>
      <c r="N164" s="63"/>
      <c r="O164" s="62"/>
      <c r="P164" s="62"/>
      <c r="Q164" s="67" t="str">
        <f t="shared" si="14"/>
        <v/>
      </c>
    </row>
    <row r="165" spans="1:17" ht="15" customHeight="1" x14ac:dyDescent="0.3">
      <c r="A165" s="61"/>
      <c r="B165" s="62"/>
      <c r="C165" s="62"/>
      <c r="D165" s="62"/>
      <c r="E165" s="63"/>
      <c r="F165" s="62"/>
      <c r="G165" s="63"/>
      <c r="H165" s="63"/>
      <c r="I165" s="64"/>
      <c r="J165" s="63"/>
      <c r="K165" s="65" t="str">
        <f t="shared" ref="K165:K196" ca="1" si="15">IF($A165="","",IF(ISNUMBER(I165),I165-TODAY(),"—"))</f>
        <v/>
      </c>
      <c r="L165" s="66" t="str">
        <f>IF($A165="","",IF(SUMPRODUCT(MAX((Histórico!$B$5:$B$1004=$A165)*Histórico!$A$5:$A$1004))=0,"—",SUMPRODUCT(MAX((Histórico!$B$5:$B$1004=$A165)*Histórico!$A$5:$A$1004))))</f>
        <v/>
      </c>
      <c r="M165" s="65" t="str">
        <f t="shared" ref="M165:M196" ca="1" si="16">IF($A165="","",IF(ISNUMBER(L165),TODAY()-L165,"—"))</f>
        <v/>
      </c>
      <c r="N165" s="63"/>
      <c r="O165" s="62"/>
      <c r="P165" s="62"/>
      <c r="Q165" s="67" t="str">
        <f t="shared" ref="Q165:Q196" si="17">IF(N165="Bloqueado",ROW(),IF(N165="Atenção",10000+ROW(),""))</f>
        <v/>
      </c>
    </row>
    <row r="166" spans="1:17" ht="15" customHeight="1" x14ac:dyDescent="0.3">
      <c r="A166" s="61"/>
      <c r="B166" s="62"/>
      <c r="C166" s="62"/>
      <c r="D166" s="62"/>
      <c r="E166" s="63"/>
      <c r="F166" s="62"/>
      <c r="G166" s="63"/>
      <c r="H166" s="63"/>
      <c r="I166" s="64"/>
      <c r="J166" s="63"/>
      <c r="K166" s="65" t="str">
        <f t="shared" ca="1" si="15"/>
        <v/>
      </c>
      <c r="L166" s="66" t="str">
        <f>IF($A166="","",IF(SUMPRODUCT(MAX((Histórico!$B$5:$B$1004=$A166)*Histórico!$A$5:$A$1004))=0,"—",SUMPRODUCT(MAX((Histórico!$B$5:$B$1004=$A166)*Histórico!$A$5:$A$1004))))</f>
        <v/>
      </c>
      <c r="M166" s="65" t="str">
        <f t="shared" ca="1" si="16"/>
        <v/>
      </c>
      <c r="N166" s="63"/>
      <c r="O166" s="62"/>
      <c r="P166" s="62"/>
      <c r="Q166" s="67" t="str">
        <f t="shared" si="17"/>
        <v/>
      </c>
    </row>
    <row r="167" spans="1:17" ht="15" customHeight="1" x14ac:dyDescent="0.3">
      <c r="A167" s="61"/>
      <c r="B167" s="62"/>
      <c r="C167" s="62"/>
      <c r="D167" s="62"/>
      <c r="E167" s="63"/>
      <c r="F167" s="62"/>
      <c r="G167" s="63"/>
      <c r="H167" s="63"/>
      <c r="I167" s="64"/>
      <c r="J167" s="63"/>
      <c r="K167" s="65" t="str">
        <f t="shared" ca="1" si="15"/>
        <v/>
      </c>
      <c r="L167" s="66" t="str">
        <f>IF($A167="","",IF(SUMPRODUCT(MAX((Histórico!$B$5:$B$1004=$A167)*Histórico!$A$5:$A$1004))=0,"—",SUMPRODUCT(MAX((Histórico!$B$5:$B$1004=$A167)*Histórico!$A$5:$A$1004))))</f>
        <v/>
      </c>
      <c r="M167" s="65" t="str">
        <f t="shared" ca="1" si="16"/>
        <v/>
      </c>
      <c r="N167" s="63"/>
      <c r="O167" s="62"/>
      <c r="P167" s="62"/>
      <c r="Q167" s="67" t="str">
        <f t="shared" si="17"/>
        <v/>
      </c>
    </row>
    <row r="168" spans="1:17" ht="15" customHeight="1" x14ac:dyDescent="0.3">
      <c r="A168" s="61"/>
      <c r="B168" s="62"/>
      <c r="C168" s="62"/>
      <c r="D168" s="62"/>
      <c r="E168" s="63"/>
      <c r="F168" s="62"/>
      <c r="G168" s="63"/>
      <c r="H168" s="63"/>
      <c r="I168" s="64"/>
      <c r="J168" s="63"/>
      <c r="K168" s="65" t="str">
        <f t="shared" ca="1" si="15"/>
        <v/>
      </c>
      <c r="L168" s="66" t="str">
        <f>IF($A168="","",IF(SUMPRODUCT(MAX((Histórico!$B$5:$B$1004=$A168)*Histórico!$A$5:$A$1004))=0,"—",SUMPRODUCT(MAX((Histórico!$B$5:$B$1004=$A168)*Histórico!$A$5:$A$1004))))</f>
        <v/>
      </c>
      <c r="M168" s="65" t="str">
        <f t="shared" ca="1" si="16"/>
        <v/>
      </c>
      <c r="N168" s="63"/>
      <c r="O168" s="62"/>
      <c r="P168" s="62"/>
      <c r="Q168" s="67" t="str">
        <f t="shared" si="17"/>
        <v/>
      </c>
    </row>
    <row r="169" spans="1:17" ht="15" customHeight="1" x14ac:dyDescent="0.3">
      <c r="A169" s="61"/>
      <c r="B169" s="62"/>
      <c r="C169" s="62"/>
      <c r="D169" s="62"/>
      <c r="E169" s="63"/>
      <c r="F169" s="62"/>
      <c r="G169" s="63"/>
      <c r="H169" s="63"/>
      <c r="I169" s="64"/>
      <c r="J169" s="63"/>
      <c r="K169" s="65" t="str">
        <f t="shared" ca="1" si="15"/>
        <v/>
      </c>
      <c r="L169" s="66" t="str">
        <f>IF($A169="","",IF(SUMPRODUCT(MAX((Histórico!$B$5:$B$1004=$A169)*Histórico!$A$5:$A$1004))=0,"—",SUMPRODUCT(MAX((Histórico!$B$5:$B$1004=$A169)*Histórico!$A$5:$A$1004))))</f>
        <v/>
      </c>
      <c r="M169" s="65" t="str">
        <f t="shared" ca="1" si="16"/>
        <v/>
      </c>
      <c r="N169" s="63"/>
      <c r="O169" s="62"/>
      <c r="P169" s="62"/>
      <c r="Q169" s="67" t="str">
        <f t="shared" si="17"/>
        <v/>
      </c>
    </row>
    <row r="170" spans="1:17" ht="15" customHeight="1" x14ac:dyDescent="0.3">
      <c r="A170" s="61"/>
      <c r="B170" s="62"/>
      <c r="C170" s="62"/>
      <c r="D170" s="62"/>
      <c r="E170" s="63"/>
      <c r="F170" s="62"/>
      <c r="G170" s="63"/>
      <c r="H170" s="63"/>
      <c r="I170" s="64"/>
      <c r="J170" s="63"/>
      <c r="K170" s="65" t="str">
        <f t="shared" ca="1" si="15"/>
        <v/>
      </c>
      <c r="L170" s="66" t="str">
        <f>IF($A170="","",IF(SUMPRODUCT(MAX((Histórico!$B$5:$B$1004=$A170)*Histórico!$A$5:$A$1004))=0,"—",SUMPRODUCT(MAX((Histórico!$B$5:$B$1004=$A170)*Histórico!$A$5:$A$1004))))</f>
        <v/>
      </c>
      <c r="M170" s="65" t="str">
        <f t="shared" ca="1" si="16"/>
        <v/>
      </c>
      <c r="N170" s="63"/>
      <c r="O170" s="62"/>
      <c r="P170" s="62"/>
      <c r="Q170" s="67" t="str">
        <f t="shared" si="17"/>
        <v/>
      </c>
    </row>
    <row r="171" spans="1:17" ht="15" customHeight="1" x14ac:dyDescent="0.3">
      <c r="A171" s="61"/>
      <c r="B171" s="62"/>
      <c r="C171" s="62"/>
      <c r="D171" s="62"/>
      <c r="E171" s="63"/>
      <c r="F171" s="62"/>
      <c r="G171" s="63"/>
      <c r="H171" s="63"/>
      <c r="I171" s="64"/>
      <c r="J171" s="63"/>
      <c r="K171" s="65" t="str">
        <f t="shared" ca="1" si="15"/>
        <v/>
      </c>
      <c r="L171" s="66" t="str">
        <f>IF($A171="","",IF(SUMPRODUCT(MAX((Histórico!$B$5:$B$1004=$A171)*Histórico!$A$5:$A$1004))=0,"—",SUMPRODUCT(MAX((Histórico!$B$5:$B$1004=$A171)*Histórico!$A$5:$A$1004))))</f>
        <v/>
      </c>
      <c r="M171" s="65" t="str">
        <f t="shared" ca="1" si="16"/>
        <v/>
      </c>
      <c r="N171" s="63"/>
      <c r="O171" s="62"/>
      <c r="P171" s="62"/>
      <c r="Q171" s="67" t="str">
        <f t="shared" si="17"/>
        <v/>
      </c>
    </row>
    <row r="172" spans="1:17" ht="15" customHeight="1" x14ac:dyDescent="0.3">
      <c r="A172" s="61"/>
      <c r="B172" s="62"/>
      <c r="C172" s="62"/>
      <c r="D172" s="62"/>
      <c r="E172" s="63"/>
      <c r="F172" s="62"/>
      <c r="G172" s="63"/>
      <c r="H172" s="63"/>
      <c r="I172" s="64"/>
      <c r="J172" s="63"/>
      <c r="K172" s="65" t="str">
        <f t="shared" ca="1" si="15"/>
        <v/>
      </c>
      <c r="L172" s="66" t="str">
        <f>IF($A172="","",IF(SUMPRODUCT(MAX((Histórico!$B$5:$B$1004=$A172)*Histórico!$A$5:$A$1004))=0,"—",SUMPRODUCT(MAX((Histórico!$B$5:$B$1004=$A172)*Histórico!$A$5:$A$1004))))</f>
        <v/>
      </c>
      <c r="M172" s="65" t="str">
        <f t="shared" ca="1" si="16"/>
        <v/>
      </c>
      <c r="N172" s="63"/>
      <c r="O172" s="62"/>
      <c r="P172" s="62"/>
      <c r="Q172" s="67" t="str">
        <f t="shared" si="17"/>
        <v/>
      </c>
    </row>
    <row r="173" spans="1:17" ht="15" customHeight="1" x14ac:dyDescent="0.3">
      <c r="A173" s="61"/>
      <c r="B173" s="62"/>
      <c r="C173" s="62"/>
      <c r="D173" s="62"/>
      <c r="E173" s="63"/>
      <c r="F173" s="62"/>
      <c r="G173" s="63"/>
      <c r="H173" s="63"/>
      <c r="I173" s="64"/>
      <c r="J173" s="63"/>
      <c r="K173" s="65" t="str">
        <f t="shared" ca="1" si="15"/>
        <v/>
      </c>
      <c r="L173" s="66" t="str">
        <f>IF($A173="","",IF(SUMPRODUCT(MAX((Histórico!$B$5:$B$1004=$A173)*Histórico!$A$5:$A$1004))=0,"—",SUMPRODUCT(MAX((Histórico!$B$5:$B$1004=$A173)*Histórico!$A$5:$A$1004))))</f>
        <v/>
      </c>
      <c r="M173" s="65" t="str">
        <f t="shared" ca="1" si="16"/>
        <v/>
      </c>
      <c r="N173" s="63"/>
      <c r="O173" s="62"/>
      <c r="P173" s="62"/>
      <c r="Q173" s="67" t="str">
        <f t="shared" si="17"/>
        <v/>
      </c>
    </row>
    <row r="174" spans="1:17" ht="15" customHeight="1" x14ac:dyDescent="0.3">
      <c r="A174" s="61"/>
      <c r="B174" s="62"/>
      <c r="C174" s="62"/>
      <c r="D174" s="62"/>
      <c r="E174" s="63"/>
      <c r="F174" s="62"/>
      <c r="G174" s="63"/>
      <c r="H174" s="63"/>
      <c r="I174" s="64"/>
      <c r="J174" s="63"/>
      <c r="K174" s="65" t="str">
        <f t="shared" ca="1" si="15"/>
        <v/>
      </c>
      <c r="L174" s="66" t="str">
        <f>IF($A174="","",IF(SUMPRODUCT(MAX((Histórico!$B$5:$B$1004=$A174)*Histórico!$A$5:$A$1004))=0,"—",SUMPRODUCT(MAX((Histórico!$B$5:$B$1004=$A174)*Histórico!$A$5:$A$1004))))</f>
        <v/>
      </c>
      <c r="M174" s="65" t="str">
        <f t="shared" ca="1" si="16"/>
        <v/>
      </c>
      <c r="N174" s="63"/>
      <c r="O174" s="62"/>
      <c r="P174" s="62"/>
      <c r="Q174" s="67" t="str">
        <f t="shared" si="17"/>
        <v/>
      </c>
    </row>
    <row r="175" spans="1:17" ht="15" customHeight="1" x14ac:dyDescent="0.3">
      <c r="A175" s="61"/>
      <c r="B175" s="62"/>
      <c r="C175" s="62"/>
      <c r="D175" s="62"/>
      <c r="E175" s="63"/>
      <c r="F175" s="62"/>
      <c r="G175" s="63"/>
      <c r="H175" s="63"/>
      <c r="I175" s="64"/>
      <c r="J175" s="63"/>
      <c r="K175" s="65" t="str">
        <f t="shared" ca="1" si="15"/>
        <v/>
      </c>
      <c r="L175" s="66" t="str">
        <f>IF($A175="","",IF(SUMPRODUCT(MAX((Histórico!$B$5:$B$1004=$A175)*Histórico!$A$5:$A$1004))=0,"—",SUMPRODUCT(MAX((Histórico!$B$5:$B$1004=$A175)*Histórico!$A$5:$A$1004))))</f>
        <v/>
      </c>
      <c r="M175" s="65" t="str">
        <f t="shared" ca="1" si="16"/>
        <v/>
      </c>
      <c r="N175" s="63"/>
      <c r="O175" s="62"/>
      <c r="P175" s="62"/>
      <c r="Q175" s="67" t="str">
        <f t="shared" si="17"/>
        <v/>
      </c>
    </row>
    <row r="176" spans="1:17" ht="15" customHeight="1" x14ac:dyDescent="0.3">
      <c r="A176" s="61"/>
      <c r="B176" s="62"/>
      <c r="C176" s="62"/>
      <c r="D176" s="62"/>
      <c r="E176" s="63"/>
      <c r="F176" s="62"/>
      <c r="G176" s="63"/>
      <c r="H176" s="63"/>
      <c r="I176" s="64"/>
      <c r="J176" s="63"/>
      <c r="K176" s="65" t="str">
        <f t="shared" ca="1" si="15"/>
        <v/>
      </c>
      <c r="L176" s="66" t="str">
        <f>IF($A176="","",IF(SUMPRODUCT(MAX((Histórico!$B$5:$B$1004=$A176)*Histórico!$A$5:$A$1004))=0,"—",SUMPRODUCT(MAX((Histórico!$B$5:$B$1004=$A176)*Histórico!$A$5:$A$1004))))</f>
        <v/>
      </c>
      <c r="M176" s="65" t="str">
        <f t="shared" ca="1" si="16"/>
        <v/>
      </c>
      <c r="N176" s="63"/>
      <c r="O176" s="62"/>
      <c r="P176" s="62"/>
      <c r="Q176" s="67" t="str">
        <f t="shared" si="17"/>
        <v/>
      </c>
    </row>
    <row r="177" spans="1:17" ht="15" customHeight="1" x14ac:dyDescent="0.3">
      <c r="A177" s="61"/>
      <c r="B177" s="62"/>
      <c r="C177" s="62"/>
      <c r="D177" s="62"/>
      <c r="E177" s="63"/>
      <c r="F177" s="62"/>
      <c r="G177" s="63"/>
      <c r="H177" s="63"/>
      <c r="I177" s="64"/>
      <c r="J177" s="63"/>
      <c r="K177" s="65" t="str">
        <f t="shared" ca="1" si="15"/>
        <v/>
      </c>
      <c r="L177" s="66" t="str">
        <f>IF($A177="","",IF(SUMPRODUCT(MAX((Histórico!$B$5:$B$1004=$A177)*Histórico!$A$5:$A$1004))=0,"—",SUMPRODUCT(MAX((Histórico!$B$5:$B$1004=$A177)*Histórico!$A$5:$A$1004))))</f>
        <v/>
      </c>
      <c r="M177" s="65" t="str">
        <f t="shared" ca="1" si="16"/>
        <v/>
      </c>
      <c r="N177" s="63"/>
      <c r="O177" s="62"/>
      <c r="P177" s="62"/>
      <c r="Q177" s="67" t="str">
        <f t="shared" si="17"/>
        <v/>
      </c>
    </row>
    <row r="178" spans="1:17" ht="15" customHeight="1" x14ac:dyDescent="0.3">
      <c r="A178" s="61"/>
      <c r="B178" s="62"/>
      <c r="C178" s="62"/>
      <c r="D178" s="62"/>
      <c r="E178" s="63"/>
      <c r="F178" s="62"/>
      <c r="G178" s="63"/>
      <c r="H178" s="63"/>
      <c r="I178" s="64"/>
      <c r="J178" s="63"/>
      <c r="K178" s="65" t="str">
        <f t="shared" ca="1" si="15"/>
        <v/>
      </c>
      <c r="L178" s="66" t="str">
        <f>IF($A178="","",IF(SUMPRODUCT(MAX((Histórico!$B$5:$B$1004=$A178)*Histórico!$A$5:$A$1004))=0,"—",SUMPRODUCT(MAX((Histórico!$B$5:$B$1004=$A178)*Histórico!$A$5:$A$1004))))</f>
        <v/>
      </c>
      <c r="M178" s="65" t="str">
        <f t="shared" ca="1" si="16"/>
        <v/>
      </c>
      <c r="N178" s="63"/>
      <c r="O178" s="62"/>
      <c r="P178" s="62"/>
      <c r="Q178" s="67" t="str">
        <f t="shared" si="17"/>
        <v/>
      </c>
    </row>
    <row r="179" spans="1:17" ht="15" customHeight="1" x14ac:dyDescent="0.3">
      <c r="A179" s="61"/>
      <c r="B179" s="62"/>
      <c r="C179" s="62"/>
      <c r="D179" s="62"/>
      <c r="E179" s="63"/>
      <c r="F179" s="62"/>
      <c r="G179" s="63"/>
      <c r="H179" s="63"/>
      <c r="I179" s="64"/>
      <c r="J179" s="63"/>
      <c r="K179" s="65" t="str">
        <f t="shared" ca="1" si="15"/>
        <v/>
      </c>
      <c r="L179" s="66" t="str">
        <f>IF($A179="","",IF(SUMPRODUCT(MAX((Histórico!$B$5:$B$1004=$A179)*Histórico!$A$5:$A$1004))=0,"—",SUMPRODUCT(MAX((Histórico!$B$5:$B$1004=$A179)*Histórico!$A$5:$A$1004))))</f>
        <v/>
      </c>
      <c r="M179" s="65" t="str">
        <f t="shared" ca="1" si="16"/>
        <v/>
      </c>
      <c r="N179" s="63"/>
      <c r="O179" s="62"/>
      <c r="P179" s="62"/>
      <c r="Q179" s="67" t="str">
        <f t="shared" si="17"/>
        <v/>
      </c>
    </row>
    <row r="180" spans="1:17" ht="15" customHeight="1" x14ac:dyDescent="0.3">
      <c r="A180" s="61"/>
      <c r="B180" s="62"/>
      <c r="C180" s="62"/>
      <c r="D180" s="62"/>
      <c r="E180" s="63"/>
      <c r="F180" s="62"/>
      <c r="G180" s="63"/>
      <c r="H180" s="63"/>
      <c r="I180" s="64"/>
      <c r="J180" s="63"/>
      <c r="K180" s="65" t="str">
        <f t="shared" ca="1" si="15"/>
        <v/>
      </c>
      <c r="L180" s="66" t="str">
        <f>IF($A180="","",IF(SUMPRODUCT(MAX((Histórico!$B$5:$B$1004=$A180)*Histórico!$A$5:$A$1004))=0,"—",SUMPRODUCT(MAX((Histórico!$B$5:$B$1004=$A180)*Histórico!$A$5:$A$1004))))</f>
        <v/>
      </c>
      <c r="M180" s="65" t="str">
        <f t="shared" ca="1" si="16"/>
        <v/>
      </c>
      <c r="N180" s="63"/>
      <c r="O180" s="62"/>
      <c r="P180" s="62"/>
      <c r="Q180" s="67" t="str">
        <f t="shared" si="17"/>
        <v/>
      </c>
    </row>
    <row r="181" spans="1:17" ht="15" customHeight="1" x14ac:dyDescent="0.3">
      <c r="A181" s="61"/>
      <c r="B181" s="62"/>
      <c r="C181" s="62"/>
      <c r="D181" s="62"/>
      <c r="E181" s="63"/>
      <c r="F181" s="62"/>
      <c r="G181" s="63"/>
      <c r="H181" s="63"/>
      <c r="I181" s="64"/>
      <c r="J181" s="63"/>
      <c r="K181" s="65" t="str">
        <f t="shared" ca="1" si="15"/>
        <v/>
      </c>
      <c r="L181" s="66" t="str">
        <f>IF($A181="","",IF(SUMPRODUCT(MAX((Histórico!$B$5:$B$1004=$A181)*Histórico!$A$5:$A$1004))=0,"—",SUMPRODUCT(MAX((Histórico!$B$5:$B$1004=$A181)*Histórico!$A$5:$A$1004))))</f>
        <v/>
      </c>
      <c r="M181" s="65" t="str">
        <f t="shared" ca="1" si="16"/>
        <v/>
      </c>
      <c r="N181" s="63"/>
      <c r="O181" s="62"/>
      <c r="P181" s="62"/>
      <c r="Q181" s="67" t="str">
        <f t="shared" si="17"/>
        <v/>
      </c>
    </row>
    <row r="182" spans="1:17" ht="15" customHeight="1" x14ac:dyDescent="0.3">
      <c r="A182" s="61"/>
      <c r="B182" s="62"/>
      <c r="C182" s="62"/>
      <c r="D182" s="62"/>
      <c r="E182" s="63"/>
      <c r="F182" s="62"/>
      <c r="G182" s="63"/>
      <c r="H182" s="63"/>
      <c r="I182" s="64"/>
      <c r="J182" s="63"/>
      <c r="K182" s="65" t="str">
        <f t="shared" ca="1" si="15"/>
        <v/>
      </c>
      <c r="L182" s="66" t="str">
        <f>IF($A182="","",IF(SUMPRODUCT(MAX((Histórico!$B$5:$B$1004=$A182)*Histórico!$A$5:$A$1004))=0,"—",SUMPRODUCT(MAX((Histórico!$B$5:$B$1004=$A182)*Histórico!$A$5:$A$1004))))</f>
        <v/>
      </c>
      <c r="M182" s="65" t="str">
        <f t="shared" ca="1" si="16"/>
        <v/>
      </c>
      <c r="N182" s="63"/>
      <c r="O182" s="62"/>
      <c r="P182" s="62"/>
      <c r="Q182" s="67" t="str">
        <f t="shared" si="17"/>
        <v/>
      </c>
    </row>
    <row r="183" spans="1:17" ht="15" customHeight="1" x14ac:dyDescent="0.3">
      <c r="A183" s="61"/>
      <c r="B183" s="62"/>
      <c r="C183" s="62"/>
      <c r="D183" s="62"/>
      <c r="E183" s="63"/>
      <c r="F183" s="62"/>
      <c r="G183" s="63"/>
      <c r="H183" s="63"/>
      <c r="I183" s="64"/>
      <c r="J183" s="63"/>
      <c r="K183" s="65" t="str">
        <f t="shared" ca="1" si="15"/>
        <v/>
      </c>
      <c r="L183" s="66" t="str">
        <f>IF($A183="","",IF(SUMPRODUCT(MAX((Histórico!$B$5:$B$1004=$A183)*Histórico!$A$5:$A$1004))=0,"—",SUMPRODUCT(MAX((Histórico!$B$5:$B$1004=$A183)*Histórico!$A$5:$A$1004))))</f>
        <v/>
      </c>
      <c r="M183" s="65" t="str">
        <f t="shared" ca="1" si="16"/>
        <v/>
      </c>
      <c r="N183" s="63"/>
      <c r="O183" s="62"/>
      <c r="P183" s="62"/>
      <c r="Q183" s="67" t="str">
        <f t="shared" si="17"/>
        <v/>
      </c>
    </row>
    <row r="184" spans="1:17" ht="15" customHeight="1" x14ac:dyDescent="0.3">
      <c r="A184" s="61"/>
      <c r="B184" s="62"/>
      <c r="C184" s="62"/>
      <c r="D184" s="62"/>
      <c r="E184" s="63"/>
      <c r="F184" s="62"/>
      <c r="G184" s="63"/>
      <c r="H184" s="63"/>
      <c r="I184" s="64"/>
      <c r="J184" s="63"/>
      <c r="K184" s="65" t="str">
        <f t="shared" ca="1" si="15"/>
        <v/>
      </c>
      <c r="L184" s="66" t="str">
        <f>IF($A184="","",IF(SUMPRODUCT(MAX((Histórico!$B$5:$B$1004=$A184)*Histórico!$A$5:$A$1004))=0,"—",SUMPRODUCT(MAX((Histórico!$B$5:$B$1004=$A184)*Histórico!$A$5:$A$1004))))</f>
        <v/>
      </c>
      <c r="M184" s="65" t="str">
        <f t="shared" ca="1" si="16"/>
        <v/>
      </c>
      <c r="N184" s="63"/>
      <c r="O184" s="62"/>
      <c r="P184" s="62"/>
      <c r="Q184" s="67" t="str">
        <f t="shared" si="17"/>
        <v/>
      </c>
    </row>
    <row r="185" spans="1:17" ht="15" customHeight="1" x14ac:dyDescent="0.3">
      <c r="A185" s="61"/>
      <c r="B185" s="62"/>
      <c r="C185" s="62"/>
      <c r="D185" s="62"/>
      <c r="E185" s="63"/>
      <c r="F185" s="62"/>
      <c r="G185" s="63"/>
      <c r="H185" s="63"/>
      <c r="I185" s="64"/>
      <c r="J185" s="63"/>
      <c r="K185" s="65" t="str">
        <f t="shared" ca="1" si="15"/>
        <v/>
      </c>
      <c r="L185" s="66" t="str">
        <f>IF($A185="","",IF(SUMPRODUCT(MAX((Histórico!$B$5:$B$1004=$A185)*Histórico!$A$5:$A$1004))=0,"—",SUMPRODUCT(MAX((Histórico!$B$5:$B$1004=$A185)*Histórico!$A$5:$A$1004))))</f>
        <v/>
      </c>
      <c r="M185" s="65" t="str">
        <f t="shared" ca="1" si="16"/>
        <v/>
      </c>
      <c r="N185" s="63"/>
      <c r="O185" s="62"/>
      <c r="P185" s="62"/>
      <c r="Q185" s="67" t="str">
        <f t="shared" si="17"/>
        <v/>
      </c>
    </row>
    <row r="186" spans="1:17" ht="15" customHeight="1" x14ac:dyDescent="0.3">
      <c r="A186" s="61"/>
      <c r="B186" s="62"/>
      <c r="C186" s="62"/>
      <c r="D186" s="62"/>
      <c r="E186" s="63"/>
      <c r="F186" s="62"/>
      <c r="G186" s="63"/>
      <c r="H186" s="63"/>
      <c r="I186" s="64"/>
      <c r="J186" s="63"/>
      <c r="K186" s="65" t="str">
        <f t="shared" ca="1" si="15"/>
        <v/>
      </c>
      <c r="L186" s="66" t="str">
        <f>IF($A186="","",IF(SUMPRODUCT(MAX((Histórico!$B$5:$B$1004=$A186)*Histórico!$A$5:$A$1004))=0,"—",SUMPRODUCT(MAX((Histórico!$B$5:$B$1004=$A186)*Histórico!$A$5:$A$1004))))</f>
        <v/>
      </c>
      <c r="M186" s="65" t="str">
        <f t="shared" ca="1" si="16"/>
        <v/>
      </c>
      <c r="N186" s="63"/>
      <c r="O186" s="62"/>
      <c r="P186" s="62"/>
      <c r="Q186" s="67" t="str">
        <f t="shared" si="17"/>
        <v/>
      </c>
    </row>
    <row r="187" spans="1:17" ht="15" customHeight="1" x14ac:dyDescent="0.3">
      <c r="A187" s="61"/>
      <c r="B187" s="62"/>
      <c r="C187" s="62"/>
      <c r="D187" s="62"/>
      <c r="E187" s="63"/>
      <c r="F187" s="62"/>
      <c r="G187" s="63"/>
      <c r="H187" s="63"/>
      <c r="I187" s="64"/>
      <c r="J187" s="63"/>
      <c r="K187" s="65" t="str">
        <f t="shared" ca="1" si="15"/>
        <v/>
      </c>
      <c r="L187" s="66" t="str">
        <f>IF($A187="","",IF(SUMPRODUCT(MAX((Histórico!$B$5:$B$1004=$A187)*Histórico!$A$5:$A$1004))=0,"—",SUMPRODUCT(MAX((Histórico!$B$5:$B$1004=$A187)*Histórico!$A$5:$A$1004))))</f>
        <v/>
      </c>
      <c r="M187" s="65" t="str">
        <f t="shared" ca="1" si="16"/>
        <v/>
      </c>
      <c r="N187" s="63"/>
      <c r="O187" s="62"/>
      <c r="P187" s="62"/>
      <c r="Q187" s="67" t="str">
        <f t="shared" si="17"/>
        <v/>
      </c>
    </row>
    <row r="188" spans="1:17" ht="15" customHeight="1" x14ac:dyDescent="0.3">
      <c r="A188" s="61"/>
      <c r="B188" s="62"/>
      <c r="C188" s="62"/>
      <c r="D188" s="62"/>
      <c r="E188" s="63"/>
      <c r="F188" s="62"/>
      <c r="G188" s="63"/>
      <c r="H188" s="63"/>
      <c r="I188" s="64"/>
      <c r="J188" s="63"/>
      <c r="K188" s="65" t="str">
        <f t="shared" ca="1" si="15"/>
        <v/>
      </c>
      <c r="L188" s="66" t="str">
        <f>IF($A188="","",IF(SUMPRODUCT(MAX((Histórico!$B$5:$B$1004=$A188)*Histórico!$A$5:$A$1004))=0,"—",SUMPRODUCT(MAX((Histórico!$B$5:$B$1004=$A188)*Histórico!$A$5:$A$1004))))</f>
        <v/>
      </c>
      <c r="M188" s="65" t="str">
        <f t="shared" ca="1" si="16"/>
        <v/>
      </c>
      <c r="N188" s="63"/>
      <c r="O188" s="62"/>
      <c r="P188" s="62"/>
      <c r="Q188" s="67" t="str">
        <f t="shared" si="17"/>
        <v/>
      </c>
    </row>
    <row r="189" spans="1:17" ht="15" customHeight="1" x14ac:dyDescent="0.3">
      <c r="A189" s="61"/>
      <c r="B189" s="62"/>
      <c r="C189" s="62"/>
      <c r="D189" s="62"/>
      <c r="E189" s="63"/>
      <c r="F189" s="62"/>
      <c r="G189" s="63"/>
      <c r="H189" s="63"/>
      <c r="I189" s="64"/>
      <c r="J189" s="63"/>
      <c r="K189" s="65" t="str">
        <f t="shared" ca="1" si="15"/>
        <v/>
      </c>
      <c r="L189" s="66" t="str">
        <f>IF($A189="","",IF(SUMPRODUCT(MAX((Histórico!$B$5:$B$1004=$A189)*Histórico!$A$5:$A$1004))=0,"—",SUMPRODUCT(MAX((Histórico!$B$5:$B$1004=$A189)*Histórico!$A$5:$A$1004))))</f>
        <v/>
      </c>
      <c r="M189" s="65" t="str">
        <f t="shared" ca="1" si="16"/>
        <v/>
      </c>
      <c r="N189" s="63"/>
      <c r="O189" s="62"/>
      <c r="P189" s="62"/>
      <c r="Q189" s="67" t="str">
        <f t="shared" si="17"/>
        <v/>
      </c>
    </row>
    <row r="190" spans="1:17" ht="15" customHeight="1" x14ac:dyDescent="0.3">
      <c r="A190" s="61"/>
      <c r="B190" s="62"/>
      <c r="C190" s="62"/>
      <c r="D190" s="62"/>
      <c r="E190" s="63"/>
      <c r="F190" s="62"/>
      <c r="G190" s="63"/>
      <c r="H190" s="63"/>
      <c r="I190" s="64"/>
      <c r="J190" s="63"/>
      <c r="K190" s="65" t="str">
        <f t="shared" ca="1" si="15"/>
        <v/>
      </c>
      <c r="L190" s="66" t="str">
        <f>IF($A190="","",IF(SUMPRODUCT(MAX((Histórico!$B$5:$B$1004=$A190)*Histórico!$A$5:$A$1004))=0,"—",SUMPRODUCT(MAX((Histórico!$B$5:$B$1004=$A190)*Histórico!$A$5:$A$1004))))</f>
        <v/>
      </c>
      <c r="M190" s="65" t="str">
        <f t="shared" ca="1" si="16"/>
        <v/>
      </c>
      <c r="N190" s="63"/>
      <c r="O190" s="62"/>
      <c r="P190" s="62"/>
      <c r="Q190" s="67" t="str">
        <f t="shared" si="17"/>
        <v/>
      </c>
    </row>
    <row r="191" spans="1:17" ht="15" customHeight="1" x14ac:dyDescent="0.3">
      <c r="A191" s="61"/>
      <c r="B191" s="62"/>
      <c r="C191" s="62"/>
      <c r="D191" s="62"/>
      <c r="E191" s="63"/>
      <c r="F191" s="62"/>
      <c r="G191" s="63"/>
      <c r="H191" s="63"/>
      <c r="I191" s="64"/>
      <c r="J191" s="63"/>
      <c r="K191" s="65" t="str">
        <f t="shared" ca="1" si="15"/>
        <v/>
      </c>
      <c r="L191" s="66" t="str">
        <f>IF($A191="","",IF(SUMPRODUCT(MAX((Histórico!$B$5:$B$1004=$A191)*Histórico!$A$5:$A$1004))=0,"—",SUMPRODUCT(MAX((Histórico!$B$5:$B$1004=$A191)*Histórico!$A$5:$A$1004))))</f>
        <v/>
      </c>
      <c r="M191" s="65" t="str">
        <f t="shared" ca="1" si="16"/>
        <v/>
      </c>
      <c r="N191" s="63"/>
      <c r="O191" s="62"/>
      <c r="P191" s="62"/>
      <c r="Q191" s="67" t="str">
        <f t="shared" si="17"/>
        <v/>
      </c>
    </row>
    <row r="192" spans="1:17" ht="15" customHeight="1" x14ac:dyDescent="0.3">
      <c r="A192" s="61"/>
      <c r="B192" s="62"/>
      <c r="C192" s="62"/>
      <c r="D192" s="62"/>
      <c r="E192" s="63"/>
      <c r="F192" s="62"/>
      <c r="G192" s="63"/>
      <c r="H192" s="63"/>
      <c r="I192" s="64"/>
      <c r="J192" s="63"/>
      <c r="K192" s="65" t="str">
        <f t="shared" ca="1" si="15"/>
        <v/>
      </c>
      <c r="L192" s="66" t="str">
        <f>IF($A192="","",IF(SUMPRODUCT(MAX((Histórico!$B$5:$B$1004=$A192)*Histórico!$A$5:$A$1004))=0,"—",SUMPRODUCT(MAX((Histórico!$B$5:$B$1004=$A192)*Histórico!$A$5:$A$1004))))</f>
        <v/>
      </c>
      <c r="M192" s="65" t="str">
        <f t="shared" ca="1" si="16"/>
        <v/>
      </c>
      <c r="N192" s="63"/>
      <c r="O192" s="62"/>
      <c r="P192" s="62"/>
      <c r="Q192" s="67" t="str">
        <f t="shared" si="17"/>
        <v/>
      </c>
    </row>
    <row r="193" spans="1:17" ht="15" customHeight="1" x14ac:dyDescent="0.3">
      <c r="A193" s="61"/>
      <c r="B193" s="62"/>
      <c r="C193" s="62"/>
      <c r="D193" s="62"/>
      <c r="E193" s="63"/>
      <c r="F193" s="62"/>
      <c r="G193" s="63"/>
      <c r="H193" s="63"/>
      <c r="I193" s="64"/>
      <c r="J193" s="63"/>
      <c r="K193" s="65" t="str">
        <f t="shared" ca="1" si="15"/>
        <v/>
      </c>
      <c r="L193" s="66" t="str">
        <f>IF($A193="","",IF(SUMPRODUCT(MAX((Histórico!$B$5:$B$1004=$A193)*Histórico!$A$5:$A$1004))=0,"—",SUMPRODUCT(MAX((Histórico!$B$5:$B$1004=$A193)*Histórico!$A$5:$A$1004))))</f>
        <v/>
      </c>
      <c r="M193" s="65" t="str">
        <f t="shared" ca="1" si="16"/>
        <v/>
      </c>
      <c r="N193" s="63"/>
      <c r="O193" s="62"/>
      <c r="P193" s="62"/>
      <c r="Q193" s="67" t="str">
        <f t="shared" si="17"/>
        <v/>
      </c>
    </row>
    <row r="194" spans="1:17" ht="15" customHeight="1" x14ac:dyDescent="0.3">
      <c r="A194" s="61"/>
      <c r="B194" s="62"/>
      <c r="C194" s="62"/>
      <c r="D194" s="62"/>
      <c r="E194" s="63"/>
      <c r="F194" s="62"/>
      <c r="G194" s="63"/>
      <c r="H194" s="63"/>
      <c r="I194" s="64"/>
      <c r="J194" s="63"/>
      <c r="K194" s="65" t="str">
        <f t="shared" ca="1" si="15"/>
        <v/>
      </c>
      <c r="L194" s="66" t="str">
        <f>IF($A194="","",IF(SUMPRODUCT(MAX((Histórico!$B$5:$B$1004=$A194)*Histórico!$A$5:$A$1004))=0,"—",SUMPRODUCT(MAX((Histórico!$B$5:$B$1004=$A194)*Histórico!$A$5:$A$1004))))</f>
        <v/>
      </c>
      <c r="M194" s="65" t="str">
        <f t="shared" ca="1" si="16"/>
        <v/>
      </c>
      <c r="N194" s="63"/>
      <c r="O194" s="62"/>
      <c r="P194" s="62"/>
      <c r="Q194" s="67" t="str">
        <f t="shared" si="17"/>
        <v/>
      </c>
    </row>
    <row r="195" spans="1:17" ht="15" customHeight="1" x14ac:dyDescent="0.3">
      <c r="A195" s="61"/>
      <c r="B195" s="62"/>
      <c r="C195" s="62"/>
      <c r="D195" s="62"/>
      <c r="E195" s="63"/>
      <c r="F195" s="62"/>
      <c r="G195" s="63"/>
      <c r="H195" s="63"/>
      <c r="I195" s="64"/>
      <c r="J195" s="63"/>
      <c r="K195" s="65" t="str">
        <f t="shared" ca="1" si="15"/>
        <v/>
      </c>
      <c r="L195" s="66" t="str">
        <f>IF($A195="","",IF(SUMPRODUCT(MAX((Histórico!$B$5:$B$1004=$A195)*Histórico!$A$5:$A$1004))=0,"—",SUMPRODUCT(MAX((Histórico!$B$5:$B$1004=$A195)*Histórico!$A$5:$A$1004))))</f>
        <v/>
      </c>
      <c r="M195" s="65" t="str">
        <f t="shared" ca="1" si="16"/>
        <v/>
      </c>
      <c r="N195" s="63"/>
      <c r="O195" s="62"/>
      <c r="P195" s="62"/>
      <c r="Q195" s="67" t="str">
        <f t="shared" si="17"/>
        <v/>
      </c>
    </row>
    <row r="196" spans="1:17" ht="15" customHeight="1" x14ac:dyDescent="0.3">
      <c r="A196" s="61"/>
      <c r="B196" s="62"/>
      <c r="C196" s="62"/>
      <c r="D196" s="62"/>
      <c r="E196" s="63"/>
      <c r="F196" s="62"/>
      <c r="G196" s="63"/>
      <c r="H196" s="63"/>
      <c r="I196" s="64"/>
      <c r="J196" s="63"/>
      <c r="K196" s="65" t="str">
        <f t="shared" ca="1" si="15"/>
        <v/>
      </c>
      <c r="L196" s="66" t="str">
        <f>IF($A196="","",IF(SUMPRODUCT(MAX((Histórico!$B$5:$B$1004=$A196)*Histórico!$A$5:$A$1004))=0,"—",SUMPRODUCT(MAX((Histórico!$B$5:$B$1004=$A196)*Histórico!$A$5:$A$1004))))</f>
        <v/>
      </c>
      <c r="M196" s="65" t="str">
        <f t="shared" ca="1" si="16"/>
        <v/>
      </c>
      <c r="N196" s="63"/>
      <c r="O196" s="62"/>
      <c r="P196" s="62"/>
      <c r="Q196" s="67" t="str">
        <f t="shared" si="17"/>
        <v/>
      </c>
    </row>
    <row r="197" spans="1:17" ht="15" customHeight="1" x14ac:dyDescent="0.3">
      <c r="A197" s="61"/>
      <c r="B197" s="62"/>
      <c r="C197" s="62"/>
      <c r="D197" s="62"/>
      <c r="E197" s="63"/>
      <c r="F197" s="62"/>
      <c r="G197" s="63"/>
      <c r="H197" s="63"/>
      <c r="I197" s="64"/>
      <c r="J197" s="63"/>
      <c r="K197" s="65" t="str">
        <f t="shared" ref="K197:K204" ca="1" si="18">IF($A197="","",IF(ISNUMBER(I197),I197-TODAY(),"—"))</f>
        <v/>
      </c>
      <c r="L197" s="66" t="str">
        <f>IF($A197="","",IF(SUMPRODUCT(MAX((Histórico!$B$5:$B$1004=$A197)*Histórico!$A$5:$A$1004))=0,"—",SUMPRODUCT(MAX((Histórico!$B$5:$B$1004=$A197)*Histórico!$A$5:$A$1004))))</f>
        <v/>
      </c>
      <c r="M197" s="65" t="str">
        <f t="shared" ref="M197:M204" ca="1" si="19">IF($A197="","",IF(ISNUMBER(L197),TODAY()-L197,"—"))</f>
        <v/>
      </c>
      <c r="N197" s="63"/>
      <c r="O197" s="62"/>
      <c r="P197" s="62"/>
      <c r="Q197" s="67" t="str">
        <f t="shared" ref="Q197:Q204" si="20">IF(N197="Bloqueado",ROW(),IF(N197="Atenção",10000+ROW(),""))</f>
        <v/>
      </c>
    </row>
    <row r="198" spans="1:17" ht="15" customHeight="1" x14ac:dyDescent="0.3">
      <c r="A198" s="61"/>
      <c r="B198" s="62"/>
      <c r="C198" s="62"/>
      <c r="D198" s="62"/>
      <c r="E198" s="63"/>
      <c r="F198" s="62"/>
      <c r="G198" s="63"/>
      <c r="H198" s="63"/>
      <c r="I198" s="64"/>
      <c r="J198" s="63"/>
      <c r="K198" s="65" t="str">
        <f t="shared" ca="1" si="18"/>
        <v/>
      </c>
      <c r="L198" s="66" t="str">
        <f>IF($A198="","",IF(SUMPRODUCT(MAX((Histórico!$B$5:$B$1004=$A198)*Histórico!$A$5:$A$1004))=0,"—",SUMPRODUCT(MAX((Histórico!$B$5:$B$1004=$A198)*Histórico!$A$5:$A$1004))))</f>
        <v/>
      </c>
      <c r="M198" s="65" t="str">
        <f t="shared" ca="1" si="19"/>
        <v/>
      </c>
      <c r="N198" s="63"/>
      <c r="O198" s="62"/>
      <c r="P198" s="62"/>
      <c r="Q198" s="67" t="str">
        <f t="shared" si="20"/>
        <v/>
      </c>
    </row>
    <row r="199" spans="1:17" ht="15" customHeight="1" x14ac:dyDescent="0.3">
      <c r="A199" s="61"/>
      <c r="B199" s="62"/>
      <c r="C199" s="62"/>
      <c r="D199" s="62"/>
      <c r="E199" s="63"/>
      <c r="F199" s="62"/>
      <c r="G199" s="63"/>
      <c r="H199" s="63"/>
      <c r="I199" s="64"/>
      <c r="J199" s="63"/>
      <c r="K199" s="65" t="str">
        <f t="shared" ca="1" si="18"/>
        <v/>
      </c>
      <c r="L199" s="66" t="str">
        <f>IF($A199="","",IF(SUMPRODUCT(MAX((Histórico!$B$5:$B$1004=$A199)*Histórico!$A$5:$A$1004))=0,"—",SUMPRODUCT(MAX((Histórico!$B$5:$B$1004=$A199)*Histórico!$A$5:$A$1004))))</f>
        <v/>
      </c>
      <c r="M199" s="65" t="str">
        <f t="shared" ca="1" si="19"/>
        <v/>
      </c>
      <c r="N199" s="63"/>
      <c r="O199" s="62"/>
      <c r="P199" s="62"/>
      <c r="Q199" s="67" t="str">
        <f t="shared" si="20"/>
        <v/>
      </c>
    </row>
    <row r="200" spans="1:17" ht="15" customHeight="1" x14ac:dyDescent="0.3">
      <c r="A200" s="61"/>
      <c r="B200" s="62"/>
      <c r="C200" s="62"/>
      <c r="D200" s="62"/>
      <c r="E200" s="63"/>
      <c r="F200" s="62"/>
      <c r="G200" s="63"/>
      <c r="H200" s="63"/>
      <c r="I200" s="64"/>
      <c r="J200" s="63"/>
      <c r="K200" s="65" t="str">
        <f t="shared" ca="1" si="18"/>
        <v/>
      </c>
      <c r="L200" s="66" t="str">
        <f>IF($A200="","",IF(SUMPRODUCT(MAX((Histórico!$B$5:$B$1004=$A200)*Histórico!$A$5:$A$1004))=0,"—",SUMPRODUCT(MAX((Histórico!$B$5:$B$1004=$A200)*Histórico!$A$5:$A$1004))))</f>
        <v/>
      </c>
      <c r="M200" s="65" t="str">
        <f t="shared" ca="1" si="19"/>
        <v/>
      </c>
      <c r="N200" s="63"/>
      <c r="O200" s="62"/>
      <c r="P200" s="62"/>
      <c r="Q200" s="67" t="str">
        <f t="shared" si="20"/>
        <v/>
      </c>
    </row>
    <row r="201" spans="1:17" ht="15" customHeight="1" x14ac:dyDescent="0.3">
      <c r="A201" s="61"/>
      <c r="B201" s="62"/>
      <c r="C201" s="62"/>
      <c r="D201" s="62"/>
      <c r="E201" s="63"/>
      <c r="F201" s="62"/>
      <c r="G201" s="63"/>
      <c r="H201" s="63"/>
      <c r="I201" s="64"/>
      <c r="J201" s="63"/>
      <c r="K201" s="65" t="str">
        <f t="shared" ca="1" si="18"/>
        <v/>
      </c>
      <c r="L201" s="66" t="str">
        <f>IF($A201="","",IF(SUMPRODUCT(MAX((Histórico!$B$5:$B$1004=$A201)*Histórico!$A$5:$A$1004))=0,"—",SUMPRODUCT(MAX((Histórico!$B$5:$B$1004=$A201)*Histórico!$A$5:$A$1004))))</f>
        <v/>
      </c>
      <c r="M201" s="65" t="str">
        <f t="shared" ca="1" si="19"/>
        <v/>
      </c>
      <c r="N201" s="63"/>
      <c r="O201" s="62"/>
      <c r="P201" s="62"/>
      <c r="Q201" s="67" t="str">
        <f t="shared" si="20"/>
        <v/>
      </c>
    </row>
    <row r="202" spans="1:17" ht="15" customHeight="1" x14ac:dyDescent="0.3">
      <c r="A202" s="61"/>
      <c r="B202" s="62"/>
      <c r="C202" s="62"/>
      <c r="D202" s="62"/>
      <c r="E202" s="63"/>
      <c r="F202" s="62"/>
      <c r="G202" s="63"/>
      <c r="H202" s="63"/>
      <c r="I202" s="64"/>
      <c r="J202" s="63"/>
      <c r="K202" s="65" t="str">
        <f t="shared" ca="1" si="18"/>
        <v/>
      </c>
      <c r="L202" s="66" t="str">
        <f>IF($A202="","",IF(SUMPRODUCT(MAX((Histórico!$B$5:$B$1004=$A202)*Histórico!$A$5:$A$1004))=0,"—",SUMPRODUCT(MAX((Histórico!$B$5:$B$1004=$A202)*Histórico!$A$5:$A$1004))))</f>
        <v/>
      </c>
      <c r="M202" s="65" t="str">
        <f t="shared" ca="1" si="19"/>
        <v/>
      </c>
      <c r="N202" s="63"/>
      <c r="O202" s="62"/>
      <c r="P202" s="62"/>
      <c r="Q202" s="67" t="str">
        <f t="shared" si="20"/>
        <v/>
      </c>
    </row>
    <row r="203" spans="1:17" ht="15" customHeight="1" x14ac:dyDescent="0.3">
      <c r="A203" s="61"/>
      <c r="B203" s="62"/>
      <c r="C203" s="62"/>
      <c r="D203" s="62"/>
      <c r="E203" s="63"/>
      <c r="F203" s="62"/>
      <c r="G203" s="63"/>
      <c r="H203" s="63"/>
      <c r="I203" s="64"/>
      <c r="J203" s="63"/>
      <c r="K203" s="65" t="str">
        <f t="shared" ca="1" si="18"/>
        <v/>
      </c>
      <c r="L203" s="66" t="str">
        <f>IF($A203="","",IF(SUMPRODUCT(MAX((Histórico!$B$5:$B$1004=$A203)*Histórico!$A$5:$A$1004))=0,"—",SUMPRODUCT(MAX((Histórico!$B$5:$B$1004=$A203)*Histórico!$A$5:$A$1004))))</f>
        <v/>
      </c>
      <c r="M203" s="65" t="str">
        <f t="shared" ca="1" si="19"/>
        <v/>
      </c>
      <c r="N203" s="63"/>
      <c r="O203" s="62"/>
      <c r="P203" s="62"/>
      <c r="Q203" s="67" t="str">
        <f t="shared" si="20"/>
        <v/>
      </c>
    </row>
    <row r="204" spans="1:17" ht="15" customHeight="1" x14ac:dyDescent="0.3">
      <c r="A204" s="61"/>
      <c r="B204" s="62"/>
      <c r="C204" s="62"/>
      <c r="D204" s="62"/>
      <c r="E204" s="63"/>
      <c r="F204" s="62"/>
      <c r="G204" s="63"/>
      <c r="H204" s="63"/>
      <c r="I204" s="64"/>
      <c r="J204" s="63"/>
      <c r="K204" s="65" t="str">
        <f t="shared" ca="1" si="18"/>
        <v/>
      </c>
      <c r="L204" s="66" t="str">
        <f>IF($A204="","",IF(SUMPRODUCT(MAX((Histórico!$B$5:$B$1004=$A204)*Histórico!$A$5:$A$1004))=0,"—",SUMPRODUCT(MAX((Histórico!$B$5:$B$1004=$A204)*Histórico!$A$5:$A$1004))))</f>
        <v/>
      </c>
      <c r="M204" s="65" t="str">
        <f t="shared" ca="1" si="19"/>
        <v/>
      </c>
      <c r="N204" s="63"/>
      <c r="O204" s="62"/>
      <c r="P204" s="62"/>
      <c r="Q204" s="67" t="str">
        <f t="shared" si="20"/>
        <v/>
      </c>
    </row>
  </sheetData>
  <autoFilter ref="A4:P204" xr:uid="{00000000-0009-0000-0000-000001000000}"/>
  <mergeCells count="7">
    <mergeCell ref="A1:P1"/>
    <mergeCell ref="A2:P2"/>
    <mergeCell ref="A3:D3"/>
    <mergeCell ref="E3:H3"/>
    <mergeCell ref="I3:K3"/>
    <mergeCell ref="L3:N3"/>
    <mergeCell ref="O3:P3"/>
  </mergeCells>
  <conditionalFormatting sqref="A5:P204">
    <cfRule type="expression" dxfId="10" priority="11">
      <formula>AND($A5&lt;&gt;"",MOD(ROW(),2)=0,COLUMN()&lt;&gt;11,COLUMN()&lt;&gt;12,COLUMN()&lt;&gt;13)</formula>
    </cfRule>
  </conditionalFormatting>
  <conditionalFormatting sqref="F5:F204">
    <cfRule type="expression" dxfId="9" priority="10">
      <formula>LEFT(F5,8)="Validado"</formula>
    </cfRule>
  </conditionalFormatting>
  <conditionalFormatting sqref="K5:K204">
    <cfRule type="expression" dxfId="8" priority="8">
      <formula>AND(ISNUMBER(K5),K5&lt;=par_mob_critico)</formula>
    </cfRule>
    <cfRule type="expression" dxfId="7" priority="9">
      <formula>AND(ISNUMBER(K5),K5&lt;=par_mob_alerta)</formula>
    </cfRule>
  </conditionalFormatting>
  <conditionalFormatting sqref="M5:M204">
    <cfRule type="expression" dxfId="6" priority="6">
      <formula>AND(ISNUMBER(M5),M5&gt;par_critico_dias)</formula>
    </cfRule>
    <cfRule type="expression" dxfId="5" priority="7">
      <formula>AND(ISNUMBER(M5),M5&gt;par_alerta_dias)</formula>
    </cfRule>
  </conditionalFormatting>
  <conditionalFormatting sqref="N5:N204">
    <cfRule type="cellIs" dxfId="4" priority="2" operator="equal">
      <formula>"No prazo"</formula>
    </cfRule>
    <cfRule type="cellIs" dxfId="3" priority="3" operator="equal">
      <formula>"Atenção"</formula>
    </cfRule>
    <cfRule type="cellIs" dxfId="2" priority="4" operator="equal">
      <formula>"Bloqueado"</formula>
    </cfRule>
    <cfRule type="cellIs" dxfId="1" priority="5" operator="equal">
      <formula>"Não avaliado"</formula>
    </cfRule>
  </conditionalFormatting>
  <dataValidations count="8">
    <dataValidation type="list" errorStyle="warning" allowBlank="1" showErrorMessage="1" errorTitle="Valor não cadastrado" error="Valor fora da lista. Se for novo, cadastre-o na aba Listas." sqref="C5:C204" xr:uid="{00000000-0002-0000-0100-000000000000}">
      <formula1>lst_pm</formula1>
      <formula2>0</formula2>
    </dataValidation>
    <dataValidation type="list" allowBlank="1" showErrorMessage="1" errorTitle="Valor inválido" error="Escolha um valor da lista (cadastre novos valores na aba Listas)." sqref="D5:D204" xr:uid="{00000000-0002-0000-0100-000001000000}">
      <formula1>lst_origem</formula1>
      <formula2>0</formula2>
    </dataValidation>
    <dataValidation type="list" allowBlank="1" showErrorMessage="1" errorTitle="Valor inválido" error="Escolha um valor da lista (cadastre novos valores na aba Listas)." sqref="E5:E204" xr:uid="{00000000-0002-0000-0100-000002000000}">
      <formula1>lst_fase</formula1>
      <formula2>0</formula2>
    </dataValidation>
    <dataValidation type="list" allowBlank="1" showErrorMessage="1" errorTitle="Valor inválido" error="Escolha um valor da lista (cadastre novos valores na aba Listas)." sqref="F5:F204" xr:uid="{00000000-0002-0000-0100-000003000000}">
      <formula1>lst_situacao</formula1>
      <formula2>0</formula2>
    </dataValidation>
    <dataValidation type="list" allowBlank="1" showErrorMessage="1" errorTitle="Valor inválido" error="Escolha um valor da lista (cadastre novos valores na aba Listas)." sqref="G5:G204" xr:uid="{00000000-0002-0000-0100-000004000000}">
      <formula1>lst_cadencia</formula1>
      <formula2>0</formula2>
    </dataValidation>
    <dataValidation type="list" allowBlank="1" showErrorMessage="1" errorTitle="Valor inválido" error="Escolha um valor da lista (cadastre novos valores na aba Listas)." sqref="J5:J204" xr:uid="{00000000-0002-0000-0100-000005000000}">
      <formula1>lst_mobilizacao</formula1>
      <formula2>0</formula2>
    </dataValidation>
    <dataValidation type="list" allowBlank="1" showInputMessage="1" showErrorMessage="1" errorTitle="Valor inválido" error="Escolha um valor da lista (cadastre novos valores na aba Listas)." prompt="No prazo · Atenção · Bloqueado · Não avaliado (critérios na aba Guia)" sqref="N5:N204" xr:uid="{00000000-0002-0000-0100-000006000000}">
      <formula1>lst_status</formula1>
      <formula2>0</formula2>
    </dataValidation>
    <dataValidation type="custom" allowBlank="1" showErrorMessage="1" errorTitle="Obra duplicada" error="Este número de obra já está cadastrado." sqref="A5:A204" xr:uid="{00000000-0002-0000-0100-000007000000}">
      <formula1>COUNTIF($A$5:$A$204,A5)=1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2C57-0734-4B19-8818-4775BBF91EC2}">
  <dimension ref="A1:L80"/>
  <sheetViews>
    <sheetView topLeftCell="A64" workbookViewId="0">
      <selection activeCell="I13" sqref="I13"/>
    </sheetView>
  </sheetViews>
  <sheetFormatPr defaultRowHeight="14.4" x14ac:dyDescent="0.3"/>
  <cols>
    <col min="2" max="2" width="21.6640625" customWidth="1"/>
    <col min="3" max="3" width="43.6640625" customWidth="1"/>
    <col min="8" max="8" width="7.6640625" bestFit="1" customWidth="1"/>
    <col min="9" max="9" width="19.44140625" bestFit="1" customWidth="1"/>
    <col min="10" max="10" width="24.33203125" bestFit="1" customWidth="1"/>
    <col min="11" max="11" width="8" bestFit="1" customWidth="1"/>
    <col min="12" max="12" width="6.88671875" bestFit="1" customWidth="1"/>
  </cols>
  <sheetData>
    <row r="1" spans="1:12" x14ac:dyDescent="0.3">
      <c r="A1" s="105" t="s">
        <v>215</v>
      </c>
      <c r="B1" s="106" t="s">
        <v>216</v>
      </c>
      <c r="C1" s="106" t="s">
        <v>217</v>
      </c>
      <c r="D1" s="105" t="s">
        <v>218</v>
      </c>
      <c r="E1" s="105" t="s">
        <v>219</v>
      </c>
      <c r="H1" s="105" t="s">
        <v>215</v>
      </c>
      <c r="I1" s="106" t="s">
        <v>216</v>
      </c>
      <c r="J1" s="106" t="s">
        <v>273</v>
      </c>
      <c r="K1" s="105" t="s">
        <v>218</v>
      </c>
      <c r="L1" s="105" t="s">
        <v>219</v>
      </c>
    </row>
    <row r="2" spans="1:12" x14ac:dyDescent="0.3">
      <c r="A2" s="104">
        <v>9</v>
      </c>
      <c r="B2" s="107" t="s">
        <v>220</v>
      </c>
      <c r="C2" s="107" t="s">
        <v>221</v>
      </c>
      <c r="D2" s="104" t="s">
        <v>222</v>
      </c>
      <c r="E2" s="104">
        <v>6.38</v>
      </c>
      <c r="H2" s="104">
        <v>122</v>
      </c>
      <c r="I2" s="107" t="s">
        <v>275</v>
      </c>
      <c r="J2" s="107" t="s">
        <v>276</v>
      </c>
      <c r="K2" s="104" t="s">
        <v>277</v>
      </c>
      <c r="L2" s="104">
        <v>33.33</v>
      </c>
    </row>
    <row r="3" spans="1:12" x14ac:dyDescent="0.3">
      <c r="A3" s="104">
        <v>11</v>
      </c>
      <c r="B3" s="107" t="s">
        <v>220</v>
      </c>
      <c r="C3" s="107" t="s">
        <v>223</v>
      </c>
      <c r="D3" s="104" t="s">
        <v>224</v>
      </c>
      <c r="E3" s="104">
        <v>2.13</v>
      </c>
      <c r="H3" s="104">
        <v>123</v>
      </c>
      <c r="I3" s="107" t="s">
        <v>275</v>
      </c>
      <c r="J3" s="107" t="s">
        <v>278</v>
      </c>
      <c r="K3" s="104" t="s">
        <v>274</v>
      </c>
      <c r="L3" s="104">
        <v>22.22</v>
      </c>
    </row>
    <row r="4" spans="1:12" x14ac:dyDescent="0.3">
      <c r="A4" s="104">
        <v>12</v>
      </c>
      <c r="B4" s="107" t="s">
        <v>220</v>
      </c>
      <c r="C4" s="107" t="s">
        <v>225</v>
      </c>
      <c r="D4" s="104" t="s">
        <v>226</v>
      </c>
      <c r="E4" s="104">
        <v>4.26</v>
      </c>
      <c r="H4" s="104">
        <v>124</v>
      </c>
      <c r="I4" s="107" t="s">
        <v>275</v>
      </c>
      <c r="J4" s="107" t="s">
        <v>279</v>
      </c>
      <c r="K4" s="104" t="s">
        <v>255</v>
      </c>
      <c r="L4" s="104">
        <v>11.11</v>
      </c>
    </row>
    <row r="5" spans="1:12" x14ac:dyDescent="0.3">
      <c r="A5" s="104">
        <v>15</v>
      </c>
      <c r="B5" s="107" t="s">
        <v>220</v>
      </c>
      <c r="C5" s="107" t="s">
        <v>227</v>
      </c>
      <c r="D5" s="104" t="s">
        <v>228</v>
      </c>
      <c r="E5" s="104">
        <v>14.89</v>
      </c>
      <c r="H5" s="104">
        <v>126</v>
      </c>
      <c r="I5" s="107" t="s">
        <v>280</v>
      </c>
      <c r="J5" s="107" t="s">
        <v>247</v>
      </c>
      <c r="K5" s="104" t="s">
        <v>277</v>
      </c>
      <c r="L5" s="104">
        <v>33.33</v>
      </c>
    </row>
    <row r="6" spans="1:12" x14ac:dyDescent="0.3">
      <c r="A6" s="104">
        <v>16</v>
      </c>
      <c r="B6" s="107" t="s">
        <v>220</v>
      </c>
      <c r="C6" s="107" t="s">
        <v>229</v>
      </c>
      <c r="D6" s="104" t="s">
        <v>230</v>
      </c>
      <c r="E6" s="104">
        <v>8.51</v>
      </c>
      <c r="H6" s="104">
        <v>127</v>
      </c>
      <c r="I6" s="107" t="s">
        <v>280</v>
      </c>
      <c r="J6" s="107" t="s">
        <v>244</v>
      </c>
      <c r="K6" s="104" t="s">
        <v>281</v>
      </c>
      <c r="L6" s="104">
        <v>44.44</v>
      </c>
    </row>
    <row r="7" spans="1:12" x14ac:dyDescent="0.3">
      <c r="A7" s="104">
        <v>17</v>
      </c>
      <c r="B7" s="107" t="s">
        <v>220</v>
      </c>
      <c r="C7" s="107" t="s">
        <v>231</v>
      </c>
      <c r="D7" s="104" t="s">
        <v>222</v>
      </c>
      <c r="E7" s="104">
        <v>6.38</v>
      </c>
      <c r="H7" s="104">
        <v>128</v>
      </c>
      <c r="I7" s="107" t="s">
        <v>280</v>
      </c>
      <c r="J7" s="107" t="s">
        <v>282</v>
      </c>
      <c r="K7" s="104" t="s">
        <v>277</v>
      </c>
      <c r="L7" s="104">
        <v>33.33</v>
      </c>
    </row>
    <row r="8" spans="1:12" x14ac:dyDescent="0.3">
      <c r="A8" s="104">
        <v>18</v>
      </c>
      <c r="B8" s="107" t="s">
        <v>220</v>
      </c>
      <c r="C8" s="107" t="s">
        <v>232</v>
      </c>
      <c r="D8" s="104" t="s">
        <v>233</v>
      </c>
      <c r="E8" s="104">
        <v>1.06</v>
      </c>
      <c r="H8" s="104">
        <v>129</v>
      </c>
      <c r="I8" s="107" t="s">
        <v>280</v>
      </c>
      <c r="J8" s="107" t="s">
        <v>220</v>
      </c>
      <c r="K8" s="104" t="s">
        <v>255</v>
      </c>
      <c r="L8" s="104">
        <v>11.11</v>
      </c>
    </row>
    <row r="9" spans="1:12" x14ac:dyDescent="0.3">
      <c r="A9" s="104">
        <v>19</v>
      </c>
      <c r="B9" s="107" t="s">
        <v>220</v>
      </c>
      <c r="C9" s="107" t="s">
        <v>234</v>
      </c>
      <c r="D9" s="104" t="s">
        <v>233</v>
      </c>
      <c r="E9" s="104">
        <v>1.06</v>
      </c>
      <c r="H9" s="104">
        <v>130</v>
      </c>
      <c r="I9" s="107" t="s">
        <v>280</v>
      </c>
      <c r="J9" s="107" t="s">
        <v>238</v>
      </c>
      <c r="K9" s="104" t="s">
        <v>255</v>
      </c>
      <c r="L9" s="104">
        <v>11.11</v>
      </c>
    </row>
    <row r="10" spans="1:12" x14ac:dyDescent="0.3">
      <c r="A10" s="104">
        <v>20</v>
      </c>
      <c r="B10" s="107" t="s">
        <v>220</v>
      </c>
      <c r="C10" s="107" t="s">
        <v>235</v>
      </c>
      <c r="D10" s="104" t="s">
        <v>226</v>
      </c>
      <c r="E10" s="104">
        <v>4.26</v>
      </c>
      <c r="H10" s="104">
        <v>131</v>
      </c>
      <c r="I10" s="107" t="s">
        <v>280</v>
      </c>
      <c r="J10" s="107" t="s">
        <v>242</v>
      </c>
      <c r="K10" s="104" t="s">
        <v>255</v>
      </c>
      <c r="L10" s="104">
        <v>11.11</v>
      </c>
    </row>
    <row r="11" spans="1:12" x14ac:dyDescent="0.3">
      <c r="A11" s="104"/>
      <c r="B11" s="108" t="s">
        <v>236</v>
      </c>
      <c r="C11" s="107"/>
      <c r="D11" s="105" t="s">
        <v>237</v>
      </c>
      <c r="E11" s="105">
        <v>48.93</v>
      </c>
      <c r="H11" s="104">
        <v>132</v>
      </c>
      <c r="I11" s="107" t="s">
        <v>280</v>
      </c>
      <c r="J11" s="107" t="s">
        <v>253</v>
      </c>
      <c r="K11" s="104" t="s">
        <v>255</v>
      </c>
      <c r="L11" s="104">
        <v>11.11</v>
      </c>
    </row>
    <row r="12" spans="1:12" x14ac:dyDescent="0.3">
      <c r="A12" s="104">
        <v>24</v>
      </c>
      <c r="B12" s="107" t="s">
        <v>238</v>
      </c>
      <c r="C12" s="107" t="s">
        <v>221</v>
      </c>
      <c r="D12" s="104" t="s">
        <v>230</v>
      </c>
      <c r="E12" s="104">
        <v>8.51</v>
      </c>
      <c r="H12" s="104">
        <v>133</v>
      </c>
      <c r="I12" s="107" t="s">
        <v>280</v>
      </c>
      <c r="J12" s="107" t="s">
        <v>261</v>
      </c>
      <c r="K12" s="104" t="s">
        <v>255</v>
      </c>
      <c r="L12" s="104">
        <v>11.11</v>
      </c>
    </row>
    <row r="13" spans="1:12" x14ac:dyDescent="0.3">
      <c r="A13" s="104">
        <v>26</v>
      </c>
      <c r="B13" s="107" t="s">
        <v>238</v>
      </c>
      <c r="C13" s="107" t="s">
        <v>223</v>
      </c>
      <c r="D13" s="104" t="s">
        <v>224</v>
      </c>
      <c r="E13" s="104">
        <v>2.13</v>
      </c>
      <c r="H13" s="104">
        <v>134</v>
      </c>
      <c r="I13" s="107" t="s">
        <v>280</v>
      </c>
      <c r="J13" s="107" t="s">
        <v>263</v>
      </c>
      <c r="K13" s="104" t="s">
        <v>255</v>
      </c>
      <c r="L13" s="104">
        <v>11.11</v>
      </c>
    </row>
    <row r="14" spans="1:12" x14ac:dyDescent="0.3">
      <c r="A14" s="104">
        <v>27</v>
      </c>
      <c r="B14" s="107" t="s">
        <v>238</v>
      </c>
      <c r="C14" s="107" t="s">
        <v>225</v>
      </c>
      <c r="D14" s="104" t="s">
        <v>226</v>
      </c>
      <c r="E14" s="104">
        <v>4.26</v>
      </c>
      <c r="H14" s="104">
        <v>135</v>
      </c>
      <c r="I14" s="107" t="s">
        <v>280</v>
      </c>
      <c r="J14" s="107" t="s">
        <v>265</v>
      </c>
      <c r="K14" s="104" t="s">
        <v>255</v>
      </c>
      <c r="L14" s="104">
        <v>11.11</v>
      </c>
    </row>
    <row r="15" spans="1:12" x14ac:dyDescent="0.3">
      <c r="A15" s="104">
        <v>30</v>
      </c>
      <c r="B15" s="107" t="s">
        <v>238</v>
      </c>
      <c r="C15" s="107" t="s">
        <v>227</v>
      </c>
      <c r="D15" s="104" t="s">
        <v>239</v>
      </c>
      <c r="E15" s="104">
        <v>12.77</v>
      </c>
      <c r="H15" s="104">
        <v>137</v>
      </c>
      <c r="I15" s="107" t="s">
        <v>151</v>
      </c>
      <c r="J15" s="107" t="s">
        <v>151</v>
      </c>
      <c r="K15" s="104" t="s">
        <v>277</v>
      </c>
      <c r="L15" s="104">
        <v>33.33</v>
      </c>
    </row>
    <row r="16" spans="1:12" x14ac:dyDescent="0.3">
      <c r="A16" s="104">
        <v>31</v>
      </c>
      <c r="B16" s="107" t="s">
        <v>238</v>
      </c>
      <c r="C16" s="107" t="s">
        <v>229</v>
      </c>
      <c r="D16" s="104" t="s">
        <v>230</v>
      </c>
      <c r="E16" s="104">
        <v>8.51</v>
      </c>
      <c r="H16" s="104">
        <v>138</v>
      </c>
      <c r="I16" s="107" t="s">
        <v>283</v>
      </c>
      <c r="J16" s="107" t="s">
        <v>283</v>
      </c>
      <c r="K16" s="104" t="s">
        <v>255</v>
      </c>
      <c r="L16" s="105" t="s">
        <v>284</v>
      </c>
    </row>
    <row r="17" spans="1:12" x14ac:dyDescent="0.3">
      <c r="A17" s="104">
        <v>32</v>
      </c>
      <c r="B17" s="107" t="s">
        <v>238</v>
      </c>
      <c r="C17" s="107" t="s">
        <v>240</v>
      </c>
      <c r="D17" s="104" t="s">
        <v>222</v>
      </c>
      <c r="E17" s="104">
        <v>6.38</v>
      </c>
      <c r="H17" s="104"/>
      <c r="I17" s="108" t="s">
        <v>285</v>
      </c>
      <c r="J17" s="107"/>
      <c r="K17" s="105" t="s">
        <v>286</v>
      </c>
      <c r="L17" s="105">
        <v>300</v>
      </c>
    </row>
    <row r="18" spans="1:12" x14ac:dyDescent="0.3">
      <c r="A18" s="104">
        <v>33</v>
      </c>
      <c r="B18" s="107" t="s">
        <v>238</v>
      </c>
      <c r="C18" s="107" t="s">
        <v>232</v>
      </c>
      <c r="D18" s="104" t="s">
        <v>233</v>
      </c>
      <c r="E18" s="104">
        <v>1.06</v>
      </c>
    </row>
    <row r="19" spans="1:12" x14ac:dyDescent="0.3">
      <c r="A19" s="104">
        <v>34</v>
      </c>
      <c r="B19" s="107" t="s">
        <v>238</v>
      </c>
      <c r="C19" s="107" t="s">
        <v>234</v>
      </c>
      <c r="D19" s="104" t="s">
        <v>233</v>
      </c>
      <c r="E19" s="104">
        <v>1.06</v>
      </c>
    </row>
    <row r="20" spans="1:12" x14ac:dyDescent="0.3">
      <c r="A20" s="104">
        <v>35</v>
      </c>
      <c r="B20" s="107" t="s">
        <v>238</v>
      </c>
      <c r="C20" s="107" t="s">
        <v>235</v>
      </c>
      <c r="D20" s="104" t="s">
        <v>226</v>
      </c>
      <c r="E20" s="104">
        <v>4.26</v>
      </c>
    </row>
    <row r="21" spans="1:12" x14ac:dyDescent="0.3">
      <c r="A21" s="104"/>
      <c r="B21" s="108" t="s">
        <v>241</v>
      </c>
      <c r="C21" s="107"/>
      <c r="D21" s="105" t="s">
        <v>237</v>
      </c>
      <c r="E21" s="105">
        <v>48.94</v>
      </c>
    </row>
    <row r="22" spans="1:12" x14ac:dyDescent="0.3">
      <c r="A22" s="104">
        <v>39</v>
      </c>
      <c r="B22" s="107" t="s">
        <v>242</v>
      </c>
      <c r="C22" s="107" t="s">
        <v>221</v>
      </c>
      <c r="D22" s="104" t="s">
        <v>230</v>
      </c>
      <c r="E22" s="104">
        <v>8.51</v>
      </c>
    </row>
    <row r="23" spans="1:12" x14ac:dyDescent="0.3">
      <c r="A23" s="104">
        <v>41</v>
      </c>
      <c r="B23" s="107" t="s">
        <v>242</v>
      </c>
      <c r="C23" s="107" t="s">
        <v>223</v>
      </c>
      <c r="D23" s="104" t="s">
        <v>224</v>
      </c>
      <c r="E23" s="104">
        <v>2.13</v>
      </c>
    </row>
    <row r="24" spans="1:12" x14ac:dyDescent="0.3">
      <c r="A24" s="104">
        <v>42</v>
      </c>
      <c r="B24" s="107" t="s">
        <v>242</v>
      </c>
      <c r="C24" s="107" t="s">
        <v>225</v>
      </c>
      <c r="D24" s="104" t="s">
        <v>226</v>
      </c>
      <c r="E24" s="104">
        <v>4.26</v>
      </c>
    </row>
    <row r="25" spans="1:12" x14ac:dyDescent="0.3">
      <c r="A25" s="104">
        <v>45</v>
      </c>
      <c r="B25" s="107" t="s">
        <v>242</v>
      </c>
      <c r="C25" s="107" t="s">
        <v>227</v>
      </c>
      <c r="D25" s="104" t="s">
        <v>239</v>
      </c>
      <c r="E25" s="104">
        <v>12.77</v>
      </c>
    </row>
    <row r="26" spans="1:12" x14ac:dyDescent="0.3">
      <c r="A26" s="104">
        <v>46</v>
      </c>
      <c r="B26" s="107" t="s">
        <v>242</v>
      </c>
      <c r="C26" s="107" t="s">
        <v>229</v>
      </c>
      <c r="D26" s="104" t="s">
        <v>230</v>
      </c>
      <c r="E26" s="104">
        <v>8.51</v>
      </c>
    </row>
    <row r="27" spans="1:12" x14ac:dyDescent="0.3">
      <c r="A27" s="104">
        <v>47</v>
      </c>
      <c r="B27" s="107" t="s">
        <v>242</v>
      </c>
      <c r="C27" s="107" t="s">
        <v>240</v>
      </c>
      <c r="D27" s="104" t="s">
        <v>222</v>
      </c>
      <c r="E27" s="104">
        <v>6.38</v>
      </c>
    </row>
    <row r="28" spans="1:12" x14ac:dyDescent="0.3">
      <c r="A28" s="104">
        <v>48</v>
      </c>
      <c r="B28" s="107" t="s">
        <v>242</v>
      </c>
      <c r="C28" s="107" t="s">
        <v>232</v>
      </c>
      <c r="D28" s="104" t="s">
        <v>233</v>
      </c>
      <c r="E28" s="104">
        <v>1.06</v>
      </c>
    </row>
    <row r="29" spans="1:12" x14ac:dyDescent="0.3">
      <c r="A29" s="104">
        <v>49</v>
      </c>
      <c r="B29" s="107" t="s">
        <v>242</v>
      </c>
      <c r="C29" s="107" t="s">
        <v>234</v>
      </c>
      <c r="D29" s="104" t="s">
        <v>233</v>
      </c>
      <c r="E29" s="104">
        <v>1.06</v>
      </c>
    </row>
    <row r="30" spans="1:12" x14ac:dyDescent="0.3">
      <c r="A30" s="104">
        <v>50</v>
      </c>
      <c r="B30" s="107" t="s">
        <v>242</v>
      </c>
      <c r="C30" s="107" t="s">
        <v>235</v>
      </c>
      <c r="D30" s="104" t="s">
        <v>226</v>
      </c>
      <c r="E30" s="104">
        <v>4.26</v>
      </c>
    </row>
    <row r="31" spans="1:12" x14ac:dyDescent="0.3">
      <c r="A31" s="104"/>
      <c r="B31" s="108" t="s">
        <v>243</v>
      </c>
      <c r="C31" s="107"/>
      <c r="D31" s="105" t="s">
        <v>237</v>
      </c>
      <c r="E31" s="105">
        <v>48.94</v>
      </c>
    </row>
    <row r="32" spans="1:12" x14ac:dyDescent="0.3">
      <c r="A32" s="104">
        <v>54</v>
      </c>
      <c r="B32" s="107" t="s">
        <v>244</v>
      </c>
      <c r="C32" s="107" t="s">
        <v>221</v>
      </c>
      <c r="D32" s="104" t="s">
        <v>230</v>
      </c>
      <c r="E32" s="104">
        <v>8.51</v>
      </c>
    </row>
    <row r="33" spans="1:5" x14ac:dyDescent="0.3">
      <c r="A33" s="104">
        <v>56</v>
      </c>
      <c r="B33" s="107" t="s">
        <v>244</v>
      </c>
      <c r="C33" s="107" t="s">
        <v>223</v>
      </c>
      <c r="D33" s="104" t="s">
        <v>224</v>
      </c>
      <c r="E33" s="104">
        <v>2.13</v>
      </c>
    </row>
    <row r="34" spans="1:5" x14ac:dyDescent="0.3">
      <c r="A34" s="104">
        <v>57</v>
      </c>
      <c r="B34" s="107" t="s">
        <v>244</v>
      </c>
      <c r="C34" s="107" t="s">
        <v>225</v>
      </c>
      <c r="D34" s="104" t="s">
        <v>226</v>
      </c>
      <c r="E34" s="104">
        <v>4.26</v>
      </c>
    </row>
    <row r="35" spans="1:5" x14ac:dyDescent="0.3">
      <c r="A35" s="104">
        <v>60</v>
      </c>
      <c r="B35" s="107" t="s">
        <v>244</v>
      </c>
      <c r="C35" s="107" t="s">
        <v>227</v>
      </c>
      <c r="D35" s="104" t="s">
        <v>228</v>
      </c>
      <c r="E35" s="104">
        <v>14.89</v>
      </c>
    </row>
    <row r="36" spans="1:5" x14ac:dyDescent="0.3">
      <c r="A36" s="104">
        <v>61</v>
      </c>
      <c r="B36" s="107" t="s">
        <v>244</v>
      </c>
      <c r="C36" s="107" t="s">
        <v>229</v>
      </c>
      <c r="D36" s="104" t="s">
        <v>230</v>
      </c>
      <c r="E36" s="104">
        <v>8.51</v>
      </c>
    </row>
    <row r="37" spans="1:5" x14ac:dyDescent="0.3">
      <c r="A37" s="104">
        <v>62</v>
      </c>
      <c r="B37" s="107" t="s">
        <v>244</v>
      </c>
      <c r="C37" s="107" t="s">
        <v>240</v>
      </c>
      <c r="D37" s="104" t="s">
        <v>222</v>
      </c>
      <c r="E37" s="104">
        <v>6.38</v>
      </c>
    </row>
    <row r="38" spans="1:5" x14ac:dyDescent="0.3">
      <c r="A38" s="104">
        <v>63</v>
      </c>
      <c r="B38" s="107" t="s">
        <v>244</v>
      </c>
      <c r="C38" s="107" t="s">
        <v>232</v>
      </c>
      <c r="D38" s="104" t="s">
        <v>233</v>
      </c>
      <c r="E38" s="104">
        <v>1.06</v>
      </c>
    </row>
    <row r="39" spans="1:5" x14ac:dyDescent="0.3">
      <c r="A39" s="104">
        <v>64</v>
      </c>
      <c r="B39" s="107" t="s">
        <v>244</v>
      </c>
      <c r="C39" s="107" t="s">
        <v>234</v>
      </c>
      <c r="D39" s="104" t="s">
        <v>233</v>
      </c>
      <c r="E39" s="104">
        <v>1.06</v>
      </c>
    </row>
    <row r="40" spans="1:5" x14ac:dyDescent="0.3">
      <c r="A40" s="104">
        <v>65</v>
      </c>
      <c r="B40" s="107" t="s">
        <v>244</v>
      </c>
      <c r="C40" s="107" t="s">
        <v>235</v>
      </c>
      <c r="D40" s="104" t="s">
        <v>226</v>
      </c>
      <c r="E40" s="104">
        <v>4.26</v>
      </c>
    </row>
    <row r="41" spans="1:5" x14ac:dyDescent="0.3">
      <c r="A41" s="104"/>
      <c r="B41" s="108" t="s">
        <v>245</v>
      </c>
      <c r="C41" s="107"/>
      <c r="D41" s="105" t="s">
        <v>246</v>
      </c>
      <c r="E41" s="105">
        <v>51.06</v>
      </c>
    </row>
    <row r="42" spans="1:5" x14ac:dyDescent="0.3">
      <c r="A42" s="104">
        <v>69</v>
      </c>
      <c r="B42" s="107" t="s">
        <v>247</v>
      </c>
      <c r="C42" s="107" t="s">
        <v>221</v>
      </c>
      <c r="D42" s="104" t="s">
        <v>230</v>
      </c>
      <c r="E42" s="104">
        <v>8.51</v>
      </c>
    </row>
    <row r="43" spans="1:5" x14ac:dyDescent="0.3">
      <c r="A43" s="104">
        <v>70</v>
      </c>
      <c r="B43" s="107" t="s">
        <v>247</v>
      </c>
      <c r="C43" s="107" t="s">
        <v>248</v>
      </c>
      <c r="D43" s="104" t="s">
        <v>224</v>
      </c>
      <c r="E43" s="104">
        <v>2.13</v>
      </c>
    </row>
    <row r="44" spans="1:5" x14ac:dyDescent="0.3">
      <c r="A44" s="104">
        <v>71</v>
      </c>
      <c r="B44" s="107" t="s">
        <v>247</v>
      </c>
      <c r="C44" s="107" t="s">
        <v>223</v>
      </c>
      <c r="D44" s="104" t="s">
        <v>224</v>
      </c>
      <c r="E44" s="104">
        <v>2.13</v>
      </c>
    </row>
    <row r="45" spans="1:5" x14ac:dyDescent="0.3">
      <c r="A45" s="104">
        <v>72</v>
      </c>
      <c r="B45" s="107" t="s">
        <v>247</v>
      </c>
      <c r="C45" s="107" t="s">
        <v>225</v>
      </c>
      <c r="D45" s="104" t="s">
        <v>226</v>
      </c>
      <c r="E45" s="104">
        <v>4.26</v>
      </c>
    </row>
    <row r="46" spans="1:5" x14ac:dyDescent="0.3">
      <c r="A46" s="104">
        <v>75</v>
      </c>
      <c r="B46" s="107" t="s">
        <v>247</v>
      </c>
      <c r="C46" s="107" t="s">
        <v>227</v>
      </c>
      <c r="D46" s="104" t="s">
        <v>228</v>
      </c>
      <c r="E46" s="104">
        <v>14.89</v>
      </c>
    </row>
    <row r="47" spans="1:5" x14ac:dyDescent="0.3">
      <c r="A47" s="104">
        <v>76</v>
      </c>
      <c r="B47" s="107" t="s">
        <v>247</v>
      </c>
      <c r="C47" s="107" t="s">
        <v>229</v>
      </c>
      <c r="D47" s="104" t="s">
        <v>230</v>
      </c>
      <c r="E47" s="104">
        <v>8.51</v>
      </c>
    </row>
    <row r="48" spans="1:5" x14ac:dyDescent="0.3">
      <c r="A48" s="104">
        <v>77</v>
      </c>
      <c r="B48" s="107" t="s">
        <v>247</v>
      </c>
      <c r="C48" s="107" t="s">
        <v>240</v>
      </c>
      <c r="D48" s="104" t="s">
        <v>222</v>
      </c>
      <c r="E48" s="104">
        <v>6.38</v>
      </c>
    </row>
    <row r="49" spans="1:5" x14ac:dyDescent="0.3">
      <c r="A49" s="104">
        <v>78</v>
      </c>
      <c r="B49" s="107" t="s">
        <v>247</v>
      </c>
      <c r="C49" s="107" t="s">
        <v>232</v>
      </c>
      <c r="D49" s="104" t="s">
        <v>233</v>
      </c>
      <c r="E49" s="104">
        <v>1.06</v>
      </c>
    </row>
    <row r="50" spans="1:5" x14ac:dyDescent="0.3">
      <c r="A50" s="104">
        <v>79</v>
      </c>
      <c r="B50" s="107" t="s">
        <v>247</v>
      </c>
      <c r="C50" s="107" t="s">
        <v>234</v>
      </c>
      <c r="D50" s="104" t="s">
        <v>233</v>
      </c>
      <c r="E50" s="104">
        <v>1.06</v>
      </c>
    </row>
    <row r="51" spans="1:5" x14ac:dyDescent="0.3">
      <c r="A51" s="104">
        <v>80</v>
      </c>
      <c r="B51" s="107" t="s">
        <v>247</v>
      </c>
      <c r="C51" s="107" t="s">
        <v>235</v>
      </c>
      <c r="D51" s="104" t="s">
        <v>226</v>
      </c>
      <c r="E51" s="104">
        <v>4.26</v>
      </c>
    </row>
    <row r="52" spans="1:5" x14ac:dyDescent="0.3">
      <c r="A52" s="104"/>
      <c r="B52" s="108" t="s">
        <v>249</v>
      </c>
      <c r="C52" s="107"/>
      <c r="D52" s="105" t="s">
        <v>250</v>
      </c>
      <c r="E52" s="105">
        <v>53.19</v>
      </c>
    </row>
    <row r="53" spans="1:5" x14ac:dyDescent="0.3">
      <c r="A53" s="104">
        <v>84</v>
      </c>
      <c r="B53" s="107" t="s">
        <v>251</v>
      </c>
      <c r="C53" s="107" t="s">
        <v>221</v>
      </c>
      <c r="D53" s="104" t="s">
        <v>222</v>
      </c>
      <c r="E53" s="104">
        <v>6.38</v>
      </c>
    </row>
    <row r="54" spans="1:5" x14ac:dyDescent="0.3">
      <c r="A54" s="104">
        <v>85</v>
      </c>
      <c r="B54" s="107" t="s">
        <v>251</v>
      </c>
      <c r="C54" s="107" t="s">
        <v>248</v>
      </c>
      <c r="D54" s="104" t="s">
        <v>224</v>
      </c>
      <c r="E54" s="104">
        <v>2.13</v>
      </c>
    </row>
    <row r="55" spans="1:5" x14ac:dyDescent="0.3">
      <c r="A55" s="104">
        <v>86</v>
      </c>
      <c r="B55" s="107" t="s">
        <v>251</v>
      </c>
      <c r="C55" s="107" t="s">
        <v>223</v>
      </c>
      <c r="D55" s="104" t="s">
        <v>224</v>
      </c>
      <c r="E55" s="104">
        <v>2.13</v>
      </c>
    </row>
    <row r="56" spans="1:5" x14ac:dyDescent="0.3">
      <c r="A56" s="104">
        <v>87</v>
      </c>
      <c r="B56" s="107" t="s">
        <v>251</v>
      </c>
      <c r="C56" s="107" t="s">
        <v>225</v>
      </c>
      <c r="D56" s="104" t="s">
        <v>226</v>
      </c>
      <c r="E56" s="104">
        <v>4.26</v>
      </c>
    </row>
    <row r="57" spans="1:5" x14ac:dyDescent="0.3">
      <c r="A57" s="104">
        <v>90</v>
      </c>
      <c r="B57" s="107" t="s">
        <v>251</v>
      </c>
      <c r="C57" s="107" t="s">
        <v>227</v>
      </c>
      <c r="D57" s="104" t="s">
        <v>239</v>
      </c>
      <c r="E57" s="104">
        <v>12.77</v>
      </c>
    </row>
    <row r="58" spans="1:5" x14ac:dyDescent="0.3">
      <c r="A58" s="104">
        <v>91</v>
      </c>
      <c r="B58" s="107" t="s">
        <v>251</v>
      </c>
      <c r="C58" s="107" t="s">
        <v>229</v>
      </c>
      <c r="D58" s="104" t="s">
        <v>230</v>
      </c>
      <c r="E58" s="104">
        <v>8.51</v>
      </c>
    </row>
    <row r="59" spans="1:5" x14ac:dyDescent="0.3">
      <c r="A59" s="104">
        <v>92</v>
      </c>
      <c r="B59" s="107" t="s">
        <v>251</v>
      </c>
      <c r="C59" s="107" t="s">
        <v>240</v>
      </c>
      <c r="D59" s="104" t="s">
        <v>222</v>
      </c>
      <c r="E59" s="104">
        <v>6.38</v>
      </c>
    </row>
    <row r="60" spans="1:5" x14ac:dyDescent="0.3">
      <c r="A60" s="104">
        <v>93</v>
      </c>
      <c r="B60" s="107" t="s">
        <v>251</v>
      </c>
      <c r="C60" s="107" t="s">
        <v>232</v>
      </c>
      <c r="D60" s="104" t="s">
        <v>233</v>
      </c>
      <c r="E60" s="104">
        <v>1.06</v>
      </c>
    </row>
    <row r="61" spans="1:5" x14ac:dyDescent="0.3">
      <c r="A61" s="104">
        <v>94</v>
      </c>
      <c r="B61" s="107" t="s">
        <v>251</v>
      </c>
      <c r="C61" s="107" t="s">
        <v>234</v>
      </c>
      <c r="D61" s="104" t="s">
        <v>233</v>
      </c>
      <c r="E61" s="104">
        <v>1.06</v>
      </c>
    </row>
    <row r="62" spans="1:5" x14ac:dyDescent="0.3">
      <c r="A62" s="104">
        <v>95</v>
      </c>
      <c r="B62" s="107" t="s">
        <v>251</v>
      </c>
      <c r="C62" s="107" t="s">
        <v>235</v>
      </c>
      <c r="D62" s="104" t="s">
        <v>226</v>
      </c>
      <c r="E62" s="104">
        <v>4.26</v>
      </c>
    </row>
    <row r="63" spans="1:5" x14ac:dyDescent="0.3">
      <c r="A63" s="104"/>
      <c r="B63" s="108" t="s">
        <v>252</v>
      </c>
      <c r="C63" s="107"/>
      <c r="D63" s="105" t="s">
        <v>237</v>
      </c>
      <c r="E63" s="105">
        <v>48.94</v>
      </c>
    </row>
    <row r="64" spans="1:5" x14ac:dyDescent="0.3">
      <c r="A64" s="104">
        <v>99</v>
      </c>
      <c r="B64" s="107" t="s">
        <v>253</v>
      </c>
      <c r="C64" s="107" t="s">
        <v>254</v>
      </c>
      <c r="D64" s="104" t="s">
        <v>255</v>
      </c>
      <c r="E64" s="104">
        <v>2.13</v>
      </c>
    </row>
    <row r="65" spans="1:5" x14ac:dyDescent="0.3">
      <c r="A65" s="104">
        <v>100</v>
      </c>
      <c r="B65" s="107" t="s">
        <v>253</v>
      </c>
      <c r="C65" s="107" t="s">
        <v>256</v>
      </c>
      <c r="D65" s="104" t="s">
        <v>257</v>
      </c>
      <c r="E65" s="104">
        <v>106.38</v>
      </c>
    </row>
    <row r="66" spans="1:5" x14ac:dyDescent="0.3">
      <c r="A66" s="104">
        <v>101</v>
      </c>
      <c r="B66" s="107" t="s">
        <v>253</v>
      </c>
      <c r="C66" s="107" t="s">
        <v>258</v>
      </c>
      <c r="D66" s="104" t="s">
        <v>255</v>
      </c>
      <c r="E66" s="104">
        <v>2.13</v>
      </c>
    </row>
    <row r="67" spans="1:5" x14ac:dyDescent="0.3">
      <c r="A67" s="104"/>
      <c r="B67" s="108" t="s">
        <v>259</v>
      </c>
      <c r="C67" s="107"/>
      <c r="D67" s="105" t="s">
        <v>260</v>
      </c>
      <c r="E67" s="105">
        <v>110.64</v>
      </c>
    </row>
    <row r="68" spans="1:5" x14ac:dyDescent="0.3">
      <c r="A68" s="104">
        <v>103</v>
      </c>
      <c r="B68" s="107" t="s">
        <v>261</v>
      </c>
      <c r="C68" s="107" t="s">
        <v>254</v>
      </c>
      <c r="D68" s="104" t="s">
        <v>255</v>
      </c>
      <c r="E68" s="104">
        <v>2.13</v>
      </c>
    </row>
    <row r="69" spans="1:5" x14ac:dyDescent="0.3">
      <c r="A69" s="104">
        <v>104</v>
      </c>
      <c r="B69" s="107" t="s">
        <v>261</v>
      </c>
      <c r="C69" s="107" t="s">
        <v>256</v>
      </c>
      <c r="D69" s="104" t="s">
        <v>257</v>
      </c>
      <c r="E69" s="104">
        <v>106.38</v>
      </c>
    </row>
    <row r="70" spans="1:5" x14ac:dyDescent="0.3">
      <c r="A70" s="104">
        <v>105</v>
      </c>
      <c r="B70" s="107" t="s">
        <v>261</v>
      </c>
      <c r="C70" s="107" t="s">
        <v>258</v>
      </c>
      <c r="D70" s="104" t="s">
        <v>255</v>
      </c>
      <c r="E70" s="104">
        <v>2.13</v>
      </c>
    </row>
    <row r="71" spans="1:5" x14ac:dyDescent="0.3">
      <c r="A71" s="104"/>
      <c r="B71" s="108" t="s">
        <v>262</v>
      </c>
      <c r="C71" s="107"/>
      <c r="D71" s="105" t="s">
        <v>260</v>
      </c>
      <c r="E71" s="105">
        <v>110.64</v>
      </c>
    </row>
    <row r="72" spans="1:5" x14ac:dyDescent="0.3">
      <c r="A72" s="104">
        <v>107</v>
      </c>
      <c r="B72" s="107" t="s">
        <v>263</v>
      </c>
      <c r="C72" s="107" t="s">
        <v>254</v>
      </c>
      <c r="D72" s="104" t="s">
        <v>255</v>
      </c>
      <c r="E72" s="104">
        <v>2.13</v>
      </c>
    </row>
    <row r="73" spans="1:5" x14ac:dyDescent="0.3">
      <c r="A73" s="104">
        <v>108</v>
      </c>
      <c r="B73" s="107" t="s">
        <v>263</v>
      </c>
      <c r="C73" s="107" t="s">
        <v>256</v>
      </c>
      <c r="D73" s="104" t="s">
        <v>257</v>
      </c>
      <c r="E73" s="104">
        <v>106.38</v>
      </c>
    </row>
    <row r="74" spans="1:5" x14ac:dyDescent="0.3">
      <c r="A74" s="104">
        <v>109</v>
      </c>
      <c r="B74" s="107" t="s">
        <v>263</v>
      </c>
      <c r="C74" s="107" t="s">
        <v>258</v>
      </c>
      <c r="D74" s="104" t="s">
        <v>255</v>
      </c>
      <c r="E74" s="104">
        <v>2.13</v>
      </c>
    </row>
    <row r="75" spans="1:5" x14ac:dyDescent="0.3">
      <c r="A75" s="104"/>
      <c r="B75" s="108" t="s">
        <v>264</v>
      </c>
      <c r="C75" s="107"/>
      <c r="D75" s="105" t="s">
        <v>260</v>
      </c>
      <c r="E75" s="105">
        <v>110.64</v>
      </c>
    </row>
    <row r="76" spans="1:5" x14ac:dyDescent="0.3">
      <c r="A76" s="104">
        <v>111</v>
      </c>
      <c r="B76" s="107" t="s">
        <v>265</v>
      </c>
      <c r="C76" s="107" t="s">
        <v>266</v>
      </c>
      <c r="D76" s="104" t="s">
        <v>255</v>
      </c>
      <c r="E76" s="104">
        <v>2.13</v>
      </c>
    </row>
    <row r="77" spans="1:5" x14ac:dyDescent="0.3">
      <c r="A77" s="104">
        <v>112</v>
      </c>
      <c r="B77" s="107" t="s">
        <v>265</v>
      </c>
      <c r="C77" s="107" t="s">
        <v>256</v>
      </c>
      <c r="D77" s="104" t="s">
        <v>267</v>
      </c>
      <c r="E77" s="104">
        <v>63.83</v>
      </c>
    </row>
    <row r="78" spans="1:5" x14ac:dyDescent="0.3">
      <c r="A78" s="104">
        <v>113</v>
      </c>
      <c r="B78" s="107" t="s">
        <v>265</v>
      </c>
      <c r="C78" s="107" t="s">
        <v>258</v>
      </c>
      <c r="D78" s="104" t="s">
        <v>255</v>
      </c>
      <c r="E78" s="105" t="s">
        <v>268</v>
      </c>
    </row>
    <row r="79" spans="1:5" ht="28.8" x14ac:dyDescent="0.3">
      <c r="A79" s="104"/>
      <c r="B79" s="108" t="s">
        <v>269</v>
      </c>
      <c r="C79" s="107"/>
      <c r="D79" s="105" t="s">
        <v>270</v>
      </c>
      <c r="E79" s="105">
        <v>68.08</v>
      </c>
    </row>
    <row r="80" spans="1:5" ht="43.2" x14ac:dyDescent="0.3">
      <c r="A80" s="104"/>
      <c r="B80" s="108" t="s">
        <v>271</v>
      </c>
      <c r="C80" s="107"/>
      <c r="D80" s="105" t="s">
        <v>272</v>
      </c>
      <c r="E80" s="105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66625"/>
    <pageSetUpPr fitToPage="1"/>
  </sheetPr>
  <dimension ref="A1:F1004"/>
  <sheetViews>
    <sheetView showGridLines="0" zoomScaleNormal="100" workbookViewId="0">
      <pane ySplit="4" topLeftCell="A5" activePane="bottomLeft" state="frozen"/>
      <selection pane="bottomLeft" sqref="A1:F1"/>
    </sheetView>
  </sheetViews>
  <sheetFormatPr defaultColWidth="8.6640625" defaultRowHeight="14.4" x14ac:dyDescent="0.3"/>
  <cols>
    <col min="1" max="1" width="13" customWidth="1"/>
    <col min="2" max="2" width="12" customWidth="1"/>
    <col min="3" max="3" width="17" customWidth="1"/>
    <col min="4" max="4" width="24" customWidth="1"/>
    <col min="5" max="5" width="80" customWidth="1"/>
    <col min="6" max="6" width="15" customWidth="1"/>
  </cols>
  <sheetData>
    <row r="1" spans="1:6" ht="30" customHeight="1" x14ac:dyDescent="0.3">
      <c r="A1" s="82" t="s">
        <v>107</v>
      </c>
      <c r="B1" s="82"/>
      <c r="C1" s="82"/>
      <c r="D1" s="82"/>
      <c r="E1" s="82"/>
      <c r="F1" s="82"/>
    </row>
    <row r="2" spans="1:6" ht="19.5" customHeight="1" x14ac:dyDescent="0.3">
      <c r="A2" s="83" t="s">
        <v>108</v>
      </c>
      <c r="B2" s="83"/>
      <c r="C2" s="83"/>
      <c r="D2" s="83"/>
      <c r="E2" s="83"/>
      <c r="F2" s="83"/>
    </row>
    <row r="3" spans="1:6" ht="15" customHeight="1" x14ac:dyDescent="0.3">
      <c r="A3" s="101" t="s">
        <v>109</v>
      </c>
      <c r="B3" s="101"/>
      <c r="C3" s="101"/>
      <c r="D3" s="101"/>
      <c r="E3" s="101"/>
      <c r="F3" s="101"/>
    </row>
    <row r="4" spans="1:6" ht="25.5" customHeight="1" x14ac:dyDescent="0.3">
      <c r="A4" s="59" t="s">
        <v>110</v>
      </c>
      <c r="B4" s="59" t="s">
        <v>34</v>
      </c>
      <c r="C4" s="60" t="s">
        <v>35</v>
      </c>
      <c r="D4" s="59" t="s">
        <v>111</v>
      </c>
      <c r="E4" s="59" t="s">
        <v>112</v>
      </c>
      <c r="F4" s="59" t="s">
        <v>113</v>
      </c>
    </row>
    <row r="5" spans="1:6" ht="27.75" customHeight="1" x14ac:dyDescent="0.3">
      <c r="A5" s="64"/>
      <c r="B5" s="61">
        <v>24480001</v>
      </c>
      <c r="C5" s="67" t="str">
        <f>IF(B5="","",IFERROR(INDEX(Carteira!$B$5:$B$204,MATCH(B5,Carteira!$A$5:$A$204,0)),"Obra não cadastrada"))</f>
        <v>MOHAWK</v>
      </c>
      <c r="D5" s="62" t="s">
        <v>114</v>
      </c>
      <c r="E5" s="62" t="s">
        <v>115</v>
      </c>
      <c r="F5" s="63" t="s">
        <v>116</v>
      </c>
    </row>
    <row r="6" spans="1:6" ht="27.75" customHeight="1" x14ac:dyDescent="0.3">
      <c r="A6" s="64"/>
      <c r="B6" s="61">
        <v>24480001</v>
      </c>
      <c r="C6" s="67" t="str">
        <f>IF(B6="","",IFERROR(INDEX(Carteira!$B$5:$B$204,MATCH(B6,Carteira!$A$5:$A$204,0)),"Obra não cadastrada"))</f>
        <v>MOHAWK</v>
      </c>
      <c r="D6" s="62" t="s">
        <v>117</v>
      </c>
      <c r="E6" s="62" t="s">
        <v>118</v>
      </c>
      <c r="F6" s="63" t="s">
        <v>116</v>
      </c>
    </row>
    <row r="7" spans="1:6" ht="27.75" customHeight="1" x14ac:dyDescent="0.3">
      <c r="A7" s="64"/>
      <c r="B7" s="61">
        <v>24480001</v>
      </c>
      <c r="C7" s="67" t="str">
        <f>IF(B7="","",IFERROR(INDEX(Carteira!$B$5:$B$204,MATCH(B7,Carteira!$A$5:$A$204,0)),"Obra não cadastrada"))</f>
        <v>MOHAWK</v>
      </c>
      <c r="D7" s="62" t="s">
        <v>119</v>
      </c>
      <c r="E7" s="62" t="s">
        <v>120</v>
      </c>
      <c r="F7" s="63" t="s">
        <v>116</v>
      </c>
    </row>
    <row r="8" spans="1:6" ht="27.75" customHeight="1" x14ac:dyDescent="0.3">
      <c r="A8" s="64"/>
      <c r="B8" s="61">
        <v>24470001</v>
      </c>
      <c r="C8" s="67" t="str">
        <f>IF(B8="","",IFERROR(INDEX(Carteira!$B$5:$B$204,MATCH(B8,Carteira!$A$5:$A$204,0)),"Obra não cadastrada"))</f>
        <v>EBRASIL</v>
      </c>
      <c r="D8" s="62" t="s">
        <v>114</v>
      </c>
      <c r="E8" s="62" t="s">
        <v>115</v>
      </c>
      <c r="F8" s="63" t="s">
        <v>116</v>
      </c>
    </row>
    <row r="9" spans="1:6" ht="27.75" customHeight="1" x14ac:dyDescent="0.3">
      <c r="A9" s="64">
        <v>46297</v>
      </c>
      <c r="B9" s="61">
        <v>24470001</v>
      </c>
      <c r="C9" s="67" t="str">
        <f>IF(B9="","",IFERROR(INDEX(Carteira!$B$5:$B$204,MATCH(B9,Carteira!$A$5:$A$204,0)),"Obra não cadastrada"))</f>
        <v>EBRASIL</v>
      </c>
      <c r="D9" s="62" t="s">
        <v>121</v>
      </c>
      <c r="E9" s="62" t="s">
        <v>122</v>
      </c>
      <c r="F9" s="63" t="s">
        <v>116</v>
      </c>
    </row>
    <row r="10" spans="1:6" ht="27.75" customHeight="1" x14ac:dyDescent="0.3">
      <c r="A10" s="64"/>
      <c r="B10" s="61">
        <v>33900001</v>
      </c>
      <c r="C10" s="67" t="str">
        <f>IF(B10="","",IFERROR(INDEX(Carteira!$B$5:$B$204,MATCH(B10,Carteira!$A$5:$A$204,0)),"Obra não cadastrada"))</f>
        <v>BIMBO</v>
      </c>
      <c r="D10" s="62" t="s">
        <v>123</v>
      </c>
      <c r="E10" s="62" t="s">
        <v>124</v>
      </c>
      <c r="F10" s="63" t="s">
        <v>116</v>
      </c>
    </row>
    <row r="11" spans="1:6" ht="27.75" customHeight="1" x14ac:dyDescent="0.3">
      <c r="A11" s="64"/>
      <c r="B11" s="61">
        <v>33900001</v>
      </c>
      <c r="C11" s="67" t="str">
        <f>IF(B11="","",IFERROR(INDEX(Carteira!$B$5:$B$204,MATCH(B11,Carteira!$A$5:$A$204,0)),"Obra não cadastrada"))</f>
        <v>BIMBO</v>
      </c>
      <c r="D11" s="62" t="s">
        <v>119</v>
      </c>
      <c r="E11" s="62" t="s">
        <v>125</v>
      </c>
      <c r="F11" s="63" t="s">
        <v>116</v>
      </c>
    </row>
    <row r="12" spans="1:6" ht="27.75" customHeight="1" x14ac:dyDescent="0.3">
      <c r="A12" s="64"/>
      <c r="B12" s="61">
        <v>33840002</v>
      </c>
      <c r="C12" s="67" t="str">
        <f>IF(B12="","",IFERROR(INDEX(Carteira!$B$5:$B$204,MATCH(B12,Carteira!$A$5:$A$204,0)),"Obra não cadastrada"))</f>
        <v>UNIMETAL</v>
      </c>
      <c r="D12" s="62" t="s">
        <v>126</v>
      </c>
      <c r="E12" s="62" t="s">
        <v>127</v>
      </c>
      <c r="F12" s="63" t="s">
        <v>116</v>
      </c>
    </row>
    <row r="13" spans="1:6" ht="27.75" customHeight="1" x14ac:dyDescent="0.3">
      <c r="A13" s="64">
        <v>46289</v>
      </c>
      <c r="B13" s="61">
        <v>33840002</v>
      </c>
      <c r="C13" s="67" t="str">
        <f>IF(B13="","",IFERROR(INDEX(Carteira!$B$5:$B$204,MATCH(B13,Carteira!$A$5:$A$204,0)),"Obra não cadastrada"))</f>
        <v>UNIMETAL</v>
      </c>
      <c r="D13" s="62" t="s">
        <v>121</v>
      </c>
      <c r="E13" s="62" t="s">
        <v>128</v>
      </c>
      <c r="F13" s="63" t="s">
        <v>116</v>
      </c>
    </row>
    <row r="14" spans="1:6" ht="27.75" customHeight="1" x14ac:dyDescent="0.3">
      <c r="A14" s="64">
        <v>46288</v>
      </c>
      <c r="B14" s="61">
        <v>18620005</v>
      </c>
      <c r="C14" s="67" t="str">
        <f>IF(B14="","",IFERROR(INDEX(Carteira!$B$5:$B$204,MATCH(B14,Carteira!$A$5:$A$204,0)),"Obra não cadastrada"))</f>
        <v>MRN</v>
      </c>
      <c r="D14" s="62" t="s">
        <v>129</v>
      </c>
      <c r="E14" s="62" t="s">
        <v>130</v>
      </c>
      <c r="F14" s="63" t="s">
        <v>116</v>
      </c>
    </row>
    <row r="15" spans="1:6" ht="27.75" customHeight="1" x14ac:dyDescent="0.3">
      <c r="A15" s="64">
        <v>46288</v>
      </c>
      <c r="B15" s="61">
        <v>18620006</v>
      </c>
      <c r="C15" s="67" t="str">
        <f>IF(B15="","",IFERROR(INDEX(Carteira!$B$5:$B$204,MATCH(B15,Carteira!$A$5:$A$204,0)),"Obra não cadastrada"))</f>
        <v>MRN</v>
      </c>
      <c r="D15" s="62" t="s">
        <v>129</v>
      </c>
      <c r="E15" s="62" t="s">
        <v>130</v>
      </c>
      <c r="F15" s="63" t="s">
        <v>116</v>
      </c>
    </row>
    <row r="16" spans="1:6" ht="27.75" customHeight="1" x14ac:dyDescent="0.3">
      <c r="A16" s="64"/>
      <c r="B16" s="61">
        <v>24520001</v>
      </c>
      <c r="C16" s="67" t="str">
        <f>IF(B16="","",IFERROR(INDEX(Carteira!$B$5:$B$204,MATCH(B16,Carteira!$A$5:$A$204,0)),"Obra não cadastrada"))</f>
        <v>UNITAPAJÓS</v>
      </c>
      <c r="D16" s="62" t="s">
        <v>114</v>
      </c>
      <c r="E16" s="62" t="s">
        <v>131</v>
      </c>
      <c r="F16" s="63" t="s">
        <v>116</v>
      </c>
    </row>
    <row r="17" spans="1:6" ht="27.75" customHeight="1" x14ac:dyDescent="0.3">
      <c r="A17" s="64"/>
      <c r="B17" s="61">
        <v>24520001</v>
      </c>
      <c r="C17" s="67" t="str">
        <f>IF(B17="","",IFERROR(INDEX(Carteira!$B$5:$B$204,MATCH(B17,Carteira!$A$5:$A$204,0)),"Obra não cadastrada"))</f>
        <v>UNITAPAJÓS</v>
      </c>
      <c r="D17" s="62" t="s">
        <v>119</v>
      </c>
      <c r="E17" s="62" t="s">
        <v>132</v>
      </c>
      <c r="F17" s="63" t="s">
        <v>116</v>
      </c>
    </row>
    <row r="18" spans="1:6" ht="27.75" customHeight="1" x14ac:dyDescent="0.3">
      <c r="A18" s="64"/>
      <c r="B18" s="61">
        <v>24520001</v>
      </c>
      <c r="C18" s="67" t="str">
        <f>IF(B18="","",IFERROR(INDEX(Carteira!$B$5:$B$204,MATCH(B18,Carteira!$A$5:$A$204,0)),"Obra não cadastrada"))</f>
        <v>UNITAPAJÓS</v>
      </c>
      <c r="D18" s="62" t="s">
        <v>38</v>
      </c>
      <c r="E18" s="62" t="s">
        <v>133</v>
      </c>
      <c r="F18" s="63" t="s">
        <v>116</v>
      </c>
    </row>
    <row r="19" spans="1:6" ht="27.75" customHeight="1" x14ac:dyDescent="0.3">
      <c r="A19" s="64">
        <v>46283</v>
      </c>
      <c r="B19" s="61">
        <v>24440001</v>
      </c>
      <c r="C19" s="67" t="str">
        <f>IF(B19="","",IFERROR(INDEX(Carteira!$B$5:$B$204,MATCH(B19,Carteira!$A$5:$A$204,0)),"Obra não cadastrada"))</f>
        <v>SENAI</v>
      </c>
      <c r="D19" s="62" t="s">
        <v>134</v>
      </c>
      <c r="E19" s="62" t="s">
        <v>135</v>
      </c>
      <c r="F19" s="63" t="s">
        <v>116</v>
      </c>
    </row>
    <row r="20" spans="1:6" ht="27.75" customHeight="1" x14ac:dyDescent="0.3">
      <c r="A20" s="64">
        <v>46288</v>
      </c>
      <c r="B20" s="61">
        <v>24080006</v>
      </c>
      <c r="C20" s="67" t="str">
        <f>IF(B20="","",IFERROR(INDEX(Carteira!$B$5:$B$204,MATCH(B20,Carteira!$A$5:$A$204,0)),"Obra não cadastrada"))</f>
        <v>GAV</v>
      </c>
      <c r="D20" s="62" t="s">
        <v>129</v>
      </c>
      <c r="E20" s="62" t="s">
        <v>136</v>
      </c>
      <c r="F20" s="63" t="s">
        <v>116</v>
      </c>
    </row>
    <row r="21" spans="1:6" ht="27.75" customHeight="1" x14ac:dyDescent="0.3">
      <c r="A21" s="64">
        <v>46288</v>
      </c>
      <c r="B21" s="61">
        <v>24080005</v>
      </c>
      <c r="C21" s="67" t="str">
        <f>IF(B21="","",IFERROR(INDEX(Carteira!$B$5:$B$204,MATCH(B21,Carteira!$A$5:$A$204,0)),"Obra não cadastrada"))</f>
        <v>GAV</v>
      </c>
      <c r="D21" s="62" t="s">
        <v>129</v>
      </c>
      <c r="E21" s="62" t="s">
        <v>136</v>
      </c>
      <c r="F21" s="63" t="s">
        <v>116</v>
      </c>
    </row>
    <row r="22" spans="1:6" ht="27.75" customHeight="1" x14ac:dyDescent="0.3">
      <c r="A22" s="64">
        <v>46288</v>
      </c>
      <c r="B22" s="61">
        <v>33960001</v>
      </c>
      <c r="C22" s="67" t="str">
        <f>IF(B22="","",IFERROR(INDEX(Carteira!$B$5:$B$204,MATCH(B22,Carteira!$A$5:$A$204,0)),"Obra não cadastrada"))</f>
        <v>IPP NAVEGANTES</v>
      </c>
      <c r="D22" s="62" t="s">
        <v>134</v>
      </c>
      <c r="E22" s="62" t="s">
        <v>135</v>
      </c>
      <c r="F22" s="63" t="s">
        <v>116</v>
      </c>
    </row>
    <row r="23" spans="1:6" ht="27.75" customHeight="1" x14ac:dyDescent="0.3">
      <c r="A23" s="64"/>
      <c r="B23" s="61">
        <v>30010034</v>
      </c>
      <c r="C23" s="67" t="str">
        <f>IF(B23="","",IFERROR(INDEX(Carteira!$B$5:$B$204,MATCH(B23,Carteira!$A$5:$A$204,0)),"Obra não cadastrada"))</f>
        <v>CROWN</v>
      </c>
      <c r="D23" s="62" t="s">
        <v>137</v>
      </c>
      <c r="E23" s="62" t="s">
        <v>138</v>
      </c>
      <c r="F23" s="63" t="s">
        <v>116</v>
      </c>
    </row>
    <row r="24" spans="1:6" x14ac:dyDescent="0.3">
      <c r="A24" s="64"/>
      <c r="B24" s="61"/>
      <c r="C24" s="67" t="str">
        <f>IF(B24="","",IFERROR(INDEX(Carteira!$B$5:$B$204,MATCH(B24,Carteira!$A$5:$A$204,0)),"Obra não cadastrada"))</f>
        <v/>
      </c>
      <c r="D24" s="62"/>
      <c r="E24" s="62"/>
      <c r="F24" s="63"/>
    </row>
    <row r="25" spans="1:6" x14ac:dyDescent="0.3">
      <c r="A25" s="64"/>
      <c r="B25" s="61"/>
      <c r="C25" s="67" t="str">
        <f>IF(B25="","",IFERROR(INDEX(Carteira!$B$5:$B$204,MATCH(B25,Carteira!$A$5:$A$204,0)),"Obra não cadastrada"))</f>
        <v/>
      </c>
      <c r="D25" s="62"/>
      <c r="E25" s="62"/>
      <c r="F25" s="63"/>
    </row>
    <row r="26" spans="1:6" x14ac:dyDescent="0.3">
      <c r="A26" s="64"/>
      <c r="B26" s="61"/>
      <c r="C26" s="67" t="str">
        <f>IF(B26="","",IFERROR(INDEX(Carteira!$B$5:$B$204,MATCH(B26,Carteira!$A$5:$A$204,0)),"Obra não cadastrada"))</f>
        <v/>
      </c>
      <c r="D26" s="62"/>
      <c r="E26" s="62"/>
      <c r="F26" s="63"/>
    </row>
    <row r="27" spans="1:6" x14ac:dyDescent="0.3">
      <c r="A27" s="64"/>
      <c r="B27" s="61"/>
      <c r="C27" s="67" t="str">
        <f>IF(B27="","",IFERROR(INDEX(Carteira!$B$5:$B$204,MATCH(B27,Carteira!$A$5:$A$204,0)),"Obra não cadastrada"))</f>
        <v/>
      </c>
      <c r="D27" s="62"/>
      <c r="E27" s="62"/>
      <c r="F27" s="63"/>
    </row>
    <row r="28" spans="1:6" x14ac:dyDescent="0.3">
      <c r="A28" s="64"/>
      <c r="B28" s="61"/>
      <c r="C28" s="67" t="str">
        <f>IF(B28="","",IFERROR(INDEX(Carteira!$B$5:$B$204,MATCH(B28,Carteira!$A$5:$A$204,0)),"Obra não cadastrada"))</f>
        <v/>
      </c>
      <c r="D28" s="62"/>
      <c r="E28" s="62"/>
      <c r="F28" s="63"/>
    </row>
    <row r="29" spans="1:6" x14ac:dyDescent="0.3">
      <c r="A29" s="64"/>
      <c r="B29" s="61"/>
      <c r="C29" s="67" t="str">
        <f>IF(B29="","",IFERROR(INDEX(Carteira!$B$5:$B$204,MATCH(B29,Carteira!$A$5:$A$204,0)),"Obra não cadastrada"))</f>
        <v/>
      </c>
      <c r="D29" s="62"/>
      <c r="E29" s="62"/>
      <c r="F29" s="63"/>
    </row>
    <row r="30" spans="1:6" x14ac:dyDescent="0.3">
      <c r="A30" s="64"/>
      <c r="B30" s="61"/>
      <c r="C30" s="67" t="str">
        <f>IF(B30="","",IFERROR(INDEX(Carteira!$B$5:$B$204,MATCH(B30,Carteira!$A$5:$A$204,0)),"Obra não cadastrada"))</f>
        <v/>
      </c>
      <c r="D30" s="62"/>
      <c r="E30" s="62"/>
      <c r="F30" s="63"/>
    </row>
    <row r="31" spans="1:6" x14ac:dyDescent="0.3">
      <c r="A31" s="64"/>
      <c r="B31" s="61"/>
      <c r="C31" s="67" t="str">
        <f>IF(B31="","",IFERROR(INDEX(Carteira!$B$5:$B$204,MATCH(B31,Carteira!$A$5:$A$204,0)),"Obra não cadastrada"))</f>
        <v/>
      </c>
      <c r="D31" s="62"/>
      <c r="E31" s="62"/>
      <c r="F31" s="63"/>
    </row>
    <row r="32" spans="1:6" x14ac:dyDescent="0.3">
      <c r="A32" s="64"/>
      <c r="B32" s="61"/>
      <c r="C32" s="67" t="str">
        <f>IF(B32="","",IFERROR(INDEX(Carteira!$B$5:$B$204,MATCH(B32,Carteira!$A$5:$A$204,0)),"Obra não cadastrada"))</f>
        <v/>
      </c>
      <c r="D32" s="62"/>
      <c r="E32" s="62"/>
      <c r="F32" s="63"/>
    </row>
    <row r="33" spans="1:6" x14ac:dyDescent="0.3">
      <c r="A33" s="64"/>
      <c r="B33" s="61"/>
      <c r="C33" s="67" t="str">
        <f>IF(B33="","",IFERROR(INDEX(Carteira!$B$5:$B$204,MATCH(B33,Carteira!$A$5:$A$204,0)),"Obra não cadastrada"))</f>
        <v/>
      </c>
      <c r="D33" s="62"/>
      <c r="E33" s="62"/>
      <c r="F33" s="63"/>
    </row>
    <row r="34" spans="1:6" x14ac:dyDescent="0.3">
      <c r="A34" s="64"/>
      <c r="B34" s="61"/>
      <c r="C34" s="67" t="str">
        <f>IF(B34="","",IFERROR(INDEX(Carteira!$B$5:$B$204,MATCH(B34,Carteira!$A$5:$A$204,0)),"Obra não cadastrada"))</f>
        <v/>
      </c>
      <c r="D34" s="62"/>
      <c r="E34" s="62"/>
      <c r="F34" s="63"/>
    </row>
    <row r="35" spans="1:6" x14ac:dyDescent="0.3">
      <c r="A35" s="64"/>
      <c r="B35" s="61"/>
      <c r="C35" s="67" t="str">
        <f>IF(B35="","",IFERROR(INDEX(Carteira!$B$5:$B$204,MATCH(B35,Carteira!$A$5:$A$204,0)),"Obra não cadastrada"))</f>
        <v/>
      </c>
      <c r="D35" s="62"/>
      <c r="E35" s="62"/>
      <c r="F35" s="63"/>
    </row>
    <row r="36" spans="1:6" x14ac:dyDescent="0.3">
      <c r="A36" s="64"/>
      <c r="B36" s="61"/>
      <c r="C36" s="67" t="str">
        <f>IF(B36="","",IFERROR(INDEX(Carteira!$B$5:$B$204,MATCH(B36,Carteira!$A$5:$A$204,0)),"Obra não cadastrada"))</f>
        <v/>
      </c>
      <c r="D36" s="62"/>
      <c r="E36" s="62"/>
      <c r="F36" s="63"/>
    </row>
    <row r="37" spans="1:6" x14ac:dyDescent="0.3">
      <c r="A37" s="64"/>
      <c r="B37" s="61"/>
      <c r="C37" s="67" t="str">
        <f>IF(B37="","",IFERROR(INDEX(Carteira!$B$5:$B$204,MATCH(B37,Carteira!$A$5:$A$204,0)),"Obra não cadastrada"))</f>
        <v/>
      </c>
      <c r="D37" s="62"/>
      <c r="E37" s="62"/>
      <c r="F37" s="63"/>
    </row>
    <row r="38" spans="1:6" x14ac:dyDescent="0.3">
      <c r="A38" s="64"/>
      <c r="B38" s="61"/>
      <c r="C38" s="67" t="str">
        <f>IF(B38="","",IFERROR(INDEX(Carteira!$B$5:$B$204,MATCH(B38,Carteira!$A$5:$A$204,0)),"Obra não cadastrada"))</f>
        <v/>
      </c>
      <c r="D38" s="62"/>
      <c r="E38" s="62"/>
      <c r="F38" s="63"/>
    </row>
    <row r="39" spans="1:6" x14ac:dyDescent="0.3">
      <c r="A39" s="64"/>
      <c r="B39" s="61"/>
      <c r="C39" s="67" t="str">
        <f>IF(B39="","",IFERROR(INDEX(Carteira!$B$5:$B$204,MATCH(B39,Carteira!$A$5:$A$204,0)),"Obra não cadastrada"))</f>
        <v/>
      </c>
      <c r="D39" s="62"/>
      <c r="E39" s="62"/>
      <c r="F39" s="63"/>
    </row>
    <row r="40" spans="1:6" x14ac:dyDescent="0.3">
      <c r="A40" s="64"/>
      <c r="B40" s="61"/>
      <c r="C40" s="67" t="str">
        <f>IF(B40="","",IFERROR(INDEX(Carteira!$B$5:$B$204,MATCH(B40,Carteira!$A$5:$A$204,0)),"Obra não cadastrada"))</f>
        <v/>
      </c>
      <c r="D40" s="62"/>
      <c r="E40" s="62"/>
      <c r="F40" s="63"/>
    </row>
    <row r="41" spans="1:6" x14ac:dyDescent="0.3">
      <c r="A41" s="64"/>
      <c r="B41" s="61"/>
      <c r="C41" s="67" t="str">
        <f>IF(B41="","",IFERROR(INDEX(Carteira!$B$5:$B$204,MATCH(B41,Carteira!$A$5:$A$204,0)),"Obra não cadastrada"))</f>
        <v/>
      </c>
      <c r="D41" s="62"/>
      <c r="E41" s="62"/>
      <c r="F41" s="63"/>
    </row>
    <row r="42" spans="1:6" x14ac:dyDescent="0.3">
      <c r="A42" s="64"/>
      <c r="B42" s="61"/>
      <c r="C42" s="67" t="str">
        <f>IF(B42="","",IFERROR(INDEX(Carteira!$B$5:$B$204,MATCH(B42,Carteira!$A$5:$A$204,0)),"Obra não cadastrada"))</f>
        <v/>
      </c>
      <c r="D42" s="62"/>
      <c r="E42" s="62"/>
      <c r="F42" s="63"/>
    </row>
    <row r="43" spans="1:6" x14ac:dyDescent="0.3">
      <c r="A43" s="64"/>
      <c r="B43" s="61"/>
      <c r="C43" s="67" t="str">
        <f>IF(B43="","",IFERROR(INDEX(Carteira!$B$5:$B$204,MATCH(B43,Carteira!$A$5:$A$204,0)),"Obra não cadastrada"))</f>
        <v/>
      </c>
      <c r="D43" s="62"/>
      <c r="E43" s="62"/>
      <c r="F43" s="63"/>
    </row>
    <row r="44" spans="1:6" x14ac:dyDescent="0.3">
      <c r="A44" s="64"/>
      <c r="B44" s="61"/>
      <c r="C44" s="67" t="str">
        <f>IF(B44="","",IFERROR(INDEX(Carteira!$B$5:$B$204,MATCH(B44,Carteira!$A$5:$A$204,0)),"Obra não cadastrada"))</f>
        <v/>
      </c>
      <c r="D44" s="62"/>
      <c r="E44" s="62"/>
      <c r="F44" s="63"/>
    </row>
    <row r="45" spans="1:6" x14ac:dyDescent="0.3">
      <c r="A45" s="64"/>
      <c r="B45" s="61"/>
      <c r="C45" s="67" t="str">
        <f>IF(B45="","",IFERROR(INDEX(Carteira!$B$5:$B$204,MATCH(B45,Carteira!$A$5:$A$204,0)),"Obra não cadastrada"))</f>
        <v/>
      </c>
      <c r="D45" s="62"/>
      <c r="E45" s="62"/>
      <c r="F45" s="63"/>
    </row>
    <row r="46" spans="1:6" x14ac:dyDescent="0.3">
      <c r="A46" s="64"/>
      <c r="B46" s="61"/>
      <c r="C46" s="67" t="str">
        <f>IF(B46="","",IFERROR(INDEX(Carteira!$B$5:$B$204,MATCH(B46,Carteira!$A$5:$A$204,0)),"Obra não cadastrada"))</f>
        <v/>
      </c>
      <c r="D46" s="62"/>
      <c r="E46" s="62"/>
      <c r="F46" s="63"/>
    </row>
    <row r="47" spans="1:6" x14ac:dyDescent="0.3">
      <c r="A47" s="64"/>
      <c r="B47" s="61"/>
      <c r="C47" s="67" t="str">
        <f>IF(B47="","",IFERROR(INDEX(Carteira!$B$5:$B$204,MATCH(B47,Carteira!$A$5:$A$204,0)),"Obra não cadastrada"))</f>
        <v/>
      </c>
      <c r="D47" s="62"/>
      <c r="E47" s="62"/>
      <c r="F47" s="63"/>
    </row>
    <row r="48" spans="1:6" x14ac:dyDescent="0.3">
      <c r="A48" s="64"/>
      <c r="B48" s="61"/>
      <c r="C48" s="67" t="str">
        <f>IF(B48="","",IFERROR(INDEX(Carteira!$B$5:$B$204,MATCH(B48,Carteira!$A$5:$A$204,0)),"Obra não cadastrada"))</f>
        <v/>
      </c>
      <c r="D48" s="62"/>
      <c r="E48" s="62"/>
      <c r="F48" s="63"/>
    </row>
    <row r="49" spans="1:6" x14ac:dyDescent="0.3">
      <c r="A49" s="64"/>
      <c r="B49" s="61"/>
      <c r="C49" s="67" t="str">
        <f>IF(B49="","",IFERROR(INDEX(Carteira!$B$5:$B$204,MATCH(B49,Carteira!$A$5:$A$204,0)),"Obra não cadastrada"))</f>
        <v/>
      </c>
      <c r="D49" s="62"/>
      <c r="E49" s="62"/>
      <c r="F49" s="63"/>
    </row>
    <row r="50" spans="1:6" x14ac:dyDescent="0.3">
      <c r="A50" s="64"/>
      <c r="B50" s="61"/>
      <c r="C50" s="67" t="str">
        <f>IF(B50="","",IFERROR(INDEX(Carteira!$B$5:$B$204,MATCH(B50,Carteira!$A$5:$A$204,0)),"Obra não cadastrada"))</f>
        <v/>
      </c>
      <c r="D50" s="62"/>
      <c r="E50" s="62"/>
      <c r="F50" s="63"/>
    </row>
    <row r="51" spans="1:6" x14ac:dyDescent="0.3">
      <c r="A51" s="64"/>
      <c r="B51" s="61"/>
      <c r="C51" s="67" t="str">
        <f>IF(B51="","",IFERROR(INDEX(Carteira!$B$5:$B$204,MATCH(B51,Carteira!$A$5:$A$204,0)),"Obra não cadastrada"))</f>
        <v/>
      </c>
      <c r="D51" s="62"/>
      <c r="E51" s="62"/>
      <c r="F51" s="63"/>
    </row>
    <row r="52" spans="1:6" x14ac:dyDescent="0.3">
      <c r="A52" s="64"/>
      <c r="B52" s="61"/>
      <c r="C52" s="67" t="str">
        <f>IF(B52="","",IFERROR(INDEX(Carteira!$B$5:$B$204,MATCH(B52,Carteira!$A$5:$A$204,0)),"Obra não cadastrada"))</f>
        <v/>
      </c>
      <c r="D52" s="62"/>
      <c r="E52" s="62"/>
      <c r="F52" s="63"/>
    </row>
    <row r="53" spans="1:6" x14ac:dyDescent="0.3">
      <c r="A53" s="64"/>
      <c r="B53" s="61"/>
      <c r="C53" s="67" t="str">
        <f>IF(B53="","",IFERROR(INDEX(Carteira!$B$5:$B$204,MATCH(B53,Carteira!$A$5:$A$204,0)),"Obra não cadastrada"))</f>
        <v/>
      </c>
      <c r="D53" s="62"/>
      <c r="E53" s="62"/>
      <c r="F53" s="63"/>
    </row>
    <row r="54" spans="1:6" x14ac:dyDescent="0.3">
      <c r="A54" s="64"/>
      <c r="B54" s="61"/>
      <c r="C54" s="67" t="str">
        <f>IF(B54="","",IFERROR(INDEX(Carteira!$B$5:$B$204,MATCH(B54,Carteira!$A$5:$A$204,0)),"Obra não cadastrada"))</f>
        <v/>
      </c>
      <c r="D54" s="62"/>
      <c r="E54" s="62"/>
      <c r="F54" s="63"/>
    </row>
    <row r="55" spans="1:6" x14ac:dyDescent="0.3">
      <c r="A55" s="64"/>
      <c r="B55" s="61"/>
      <c r="C55" s="67" t="str">
        <f>IF(B55="","",IFERROR(INDEX(Carteira!$B$5:$B$204,MATCH(B55,Carteira!$A$5:$A$204,0)),"Obra não cadastrada"))</f>
        <v/>
      </c>
      <c r="D55" s="62"/>
      <c r="E55" s="62"/>
      <c r="F55" s="63"/>
    </row>
    <row r="56" spans="1:6" x14ac:dyDescent="0.3">
      <c r="A56" s="64"/>
      <c r="B56" s="61"/>
      <c r="C56" s="67" t="str">
        <f>IF(B56="","",IFERROR(INDEX(Carteira!$B$5:$B$204,MATCH(B56,Carteira!$A$5:$A$204,0)),"Obra não cadastrada"))</f>
        <v/>
      </c>
      <c r="D56" s="62"/>
      <c r="E56" s="62"/>
      <c r="F56" s="63"/>
    </row>
    <row r="57" spans="1:6" x14ac:dyDescent="0.3">
      <c r="A57" s="64"/>
      <c r="B57" s="61"/>
      <c r="C57" s="67" t="str">
        <f>IF(B57="","",IFERROR(INDEX(Carteira!$B$5:$B$204,MATCH(B57,Carteira!$A$5:$A$204,0)),"Obra não cadastrada"))</f>
        <v/>
      </c>
      <c r="D57" s="62"/>
      <c r="E57" s="62"/>
      <c r="F57" s="63"/>
    </row>
    <row r="58" spans="1:6" x14ac:dyDescent="0.3">
      <c r="A58" s="64"/>
      <c r="B58" s="61"/>
      <c r="C58" s="67" t="str">
        <f>IF(B58="","",IFERROR(INDEX(Carteira!$B$5:$B$204,MATCH(B58,Carteira!$A$5:$A$204,0)),"Obra não cadastrada"))</f>
        <v/>
      </c>
      <c r="D58" s="62"/>
      <c r="E58" s="62"/>
      <c r="F58" s="63"/>
    </row>
    <row r="59" spans="1:6" x14ac:dyDescent="0.3">
      <c r="A59" s="64"/>
      <c r="B59" s="61"/>
      <c r="C59" s="67" t="str">
        <f>IF(B59="","",IFERROR(INDEX(Carteira!$B$5:$B$204,MATCH(B59,Carteira!$A$5:$A$204,0)),"Obra não cadastrada"))</f>
        <v/>
      </c>
      <c r="D59" s="62"/>
      <c r="E59" s="62"/>
      <c r="F59" s="63"/>
    </row>
    <row r="60" spans="1:6" x14ac:dyDescent="0.3">
      <c r="A60" s="64"/>
      <c r="B60" s="61"/>
      <c r="C60" s="67" t="str">
        <f>IF(B60="","",IFERROR(INDEX(Carteira!$B$5:$B$204,MATCH(B60,Carteira!$A$5:$A$204,0)),"Obra não cadastrada"))</f>
        <v/>
      </c>
      <c r="D60" s="62"/>
      <c r="E60" s="62"/>
      <c r="F60" s="63"/>
    </row>
    <row r="61" spans="1:6" x14ac:dyDescent="0.3">
      <c r="A61" s="64"/>
      <c r="B61" s="61"/>
      <c r="C61" s="67" t="str">
        <f>IF(B61="","",IFERROR(INDEX(Carteira!$B$5:$B$204,MATCH(B61,Carteira!$A$5:$A$204,0)),"Obra não cadastrada"))</f>
        <v/>
      </c>
      <c r="D61" s="62"/>
      <c r="E61" s="62"/>
      <c r="F61" s="63"/>
    </row>
    <row r="62" spans="1:6" x14ac:dyDescent="0.3">
      <c r="A62" s="64"/>
      <c r="B62" s="61"/>
      <c r="C62" s="67" t="str">
        <f>IF(B62="","",IFERROR(INDEX(Carteira!$B$5:$B$204,MATCH(B62,Carteira!$A$5:$A$204,0)),"Obra não cadastrada"))</f>
        <v/>
      </c>
      <c r="D62" s="62"/>
      <c r="E62" s="62"/>
      <c r="F62" s="63"/>
    </row>
    <row r="63" spans="1:6" x14ac:dyDescent="0.3">
      <c r="A63" s="64"/>
      <c r="B63" s="61"/>
      <c r="C63" s="67" t="str">
        <f>IF(B63="","",IFERROR(INDEX(Carteira!$B$5:$B$204,MATCH(B63,Carteira!$A$5:$A$204,0)),"Obra não cadastrada"))</f>
        <v/>
      </c>
      <c r="D63" s="62"/>
      <c r="E63" s="62"/>
      <c r="F63" s="63"/>
    </row>
    <row r="64" spans="1:6" x14ac:dyDescent="0.3">
      <c r="A64" s="64"/>
      <c r="B64" s="61"/>
      <c r="C64" s="67" t="str">
        <f>IF(B64="","",IFERROR(INDEX(Carteira!$B$5:$B$204,MATCH(B64,Carteira!$A$5:$A$204,0)),"Obra não cadastrada"))</f>
        <v/>
      </c>
      <c r="D64" s="62"/>
      <c r="E64" s="62"/>
      <c r="F64" s="63"/>
    </row>
    <row r="65" spans="1:6" x14ac:dyDescent="0.3">
      <c r="A65" s="64"/>
      <c r="B65" s="61"/>
      <c r="C65" s="67" t="str">
        <f>IF(B65="","",IFERROR(INDEX(Carteira!$B$5:$B$204,MATCH(B65,Carteira!$A$5:$A$204,0)),"Obra não cadastrada"))</f>
        <v/>
      </c>
      <c r="D65" s="62"/>
      <c r="E65" s="62"/>
      <c r="F65" s="63"/>
    </row>
    <row r="66" spans="1:6" x14ac:dyDescent="0.3">
      <c r="A66" s="64"/>
      <c r="B66" s="61"/>
      <c r="C66" s="67" t="str">
        <f>IF(B66="","",IFERROR(INDEX(Carteira!$B$5:$B$204,MATCH(B66,Carteira!$A$5:$A$204,0)),"Obra não cadastrada"))</f>
        <v/>
      </c>
      <c r="D66" s="62"/>
      <c r="E66" s="62"/>
      <c r="F66" s="63"/>
    </row>
    <row r="67" spans="1:6" x14ac:dyDescent="0.3">
      <c r="A67" s="64"/>
      <c r="B67" s="61"/>
      <c r="C67" s="67" t="str">
        <f>IF(B67="","",IFERROR(INDEX(Carteira!$B$5:$B$204,MATCH(B67,Carteira!$A$5:$A$204,0)),"Obra não cadastrada"))</f>
        <v/>
      </c>
      <c r="D67" s="62"/>
      <c r="E67" s="62"/>
      <c r="F67" s="63"/>
    </row>
    <row r="68" spans="1:6" x14ac:dyDescent="0.3">
      <c r="A68" s="64"/>
      <c r="B68" s="61"/>
      <c r="C68" s="67" t="str">
        <f>IF(B68="","",IFERROR(INDEX(Carteira!$B$5:$B$204,MATCH(B68,Carteira!$A$5:$A$204,0)),"Obra não cadastrada"))</f>
        <v/>
      </c>
      <c r="D68" s="62"/>
      <c r="E68" s="62"/>
      <c r="F68" s="63"/>
    </row>
    <row r="69" spans="1:6" x14ac:dyDescent="0.3">
      <c r="A69" s="64"/>
      <c r="B69" s="61"/>
      <c r="C69" s="67" t="str">
        <f>IF(B69="","",IFERROR(INDEX(Carteira!$B$5:$B$204,MATCH(B69,Carteira!$A$5:$A$204,0)),"Obra não cadastrada"))</f>
        <v/>
      </c>
      <c r="D69" s="62"/>
      <c r="E69" s="62"/>
      <c r="F69" s="63"/>
    </row>
    <row r="70" spans="1:6" x14ac:dyDescent="0.3">
      <c r="A70" s="64"/>
      <c r="B70" s="61"/>
      <c r="C70" s="67" t="str">
        <f>IF(B70="","",IFERROR(INDEX(Carteira!$B$5:$B$204,MATCH(B70,Carteira!$A$5:$A$204,0)),"Obra não cadastrada"))</f>
        <v/>
      </c>
      <c r="D70" s="62"/>
      <c r="E70" s="62"/>
      <c r="F70" s="63"/>
    </row>
    <row r="71" spans="1:6" x14ac:dyDescent="0.3">
      <c r="A71" s="64"/>
      <c r="B71" s="61"/>
      <c r="C71" s="67" t="str">
        <f>IF(B71="","",IFERROR(INDEX(Carteira!$B$5:$B$204,MATCH(B71,Carteira!$A$5:$A$204,0)),"Obra não cadastrada"))</f>
        <v/>
      </c>
      <c r="D71" s="62"/>
      <c r="E71" s="62"/>
      <c r="F71" s="63"/>
    </row>
    <row r="72" spans="1:6" x14ac:dyDescent="0.3">
      <c r="A72" s="64"/>
      <c r="B72" s="61"/>
      <c r="C72" s="67" t="str">
        <f>IF(B72="","",IFERROR(INDEX(Carteira!$B$5:$B$204,MATCH(B72,Carteira!$A$5:$A$204,0)),"Obra não cadastrada"))</f>
        <v/>
      </c>
      <c r="D72" s="62"/>
      <c r="E72" s="62"/>
      <c r="F72" s="63"/>
    </row>
    <row r="73" spans="1:6" x14ac:dyDescent="0.3">
      <c r="A73" s="64"/>
      <c r="B73" s="61"/>
      <c r="C73" s="67" t="str">
        <f>IF(B73="","",IFERROR(INDEX(Carteira!$B$5:$B$204,MATCH(B73,Carteira!$A$5:$A$204,0)),"Obra não cadastrada"))</f>
        <v/>
      </c>
      <c r="D73" s="62"/>
      <c r="E73" s="62"/>
      <c r="F73" s="63"/>
    </row>
    <row r="74" spans="1:6" x14ac:dyDescent="0.3">
      <c r="A74" s="64"/>
      <c r="B74" s="61"/>
      <c r="C74" s="67" t="str">
        <f>IF(B74="","",IFERROR(INDEX(Carteira!$B$5:$B$204,MATCH(B74,Carteira!$A$5:$A$204,0)),"Obra não cadastrada"))</f>
        <v/>
      </c>
      <c r="D74" s="62"/>
      <c r="E74" s="62"/>
      <c r="F74" s="63"/>
    </row>
    <row r="75" spans="1:6" x14ac:dyDescent="0.3">
      <c r="A75" s="64"/>
      <c r="B75" s="61"/>
      <c r="C75" s="67" t="str">
        <f>IF(B75="","",IFERROR(INDEX(Carteira!$B$5:$B$204,MATCH(B75,Carteira!$A$5:$A$204,0)),"Obra não cadastrada"))</f>
        <v/>
      </c>
      <c r="D75" s="62"/>
      <c r="E75" s="62"/>
      <c r="F75" s="63"/>
    </row>
    <row r="76" spans="1:6" x14ac:dyDescent="0.3">
      <c r="A76" s="64"/>
      <c r="B76" s="61"/>
      <c r="C76" s="67" t="str">
        <f>IF(B76="","",IFERROR(INDEX(Carteira!$B$5:$B$204,MATCH(B76,Carteira!$A$5:$A$204,0)),"Obra não cadastrada"))</f>
        <v/>
      </c>
      <c r="D76" s="62"/>
      <c r="E76" s="62"/>
      <c r="F76" s="63"/>
    </row>
    <row r="77" spans="1:6" x14ac:dyDescent="0.3">
      <c r="A77" s="64"/>
      <c r="B77" s="61"/>
      <c r="C77" s="67" t="str">
        <f>IF(B77="","",IFERROR(INDEX(Carteira!$B$5:$B$204,MATCH(B77,Carteira!$A$5:$A$204,0)),"Obra não cadastrada"))</f>
        <v/>
      </c>
      <c r="D77" s="62"/>
      <c r="E77" s="62"/>
      <c r="F77" s="63"/>
    </row>
    <row r="78" spans="1:6" x14ac:dyDescent="0.3">
      <c r="A78" s="64"/>
      <c r="B78" s="61"/>
      <c r="C78" s="67" t="str">
        <f>IF(B78="","",IFERROR(INDEX(Carteira!$B$5:$B$204,MATCH(B78,Carteira!$A$5:$A$204,0)),"Obra não cadastrada"))</f>
        <v/>
      </c>
      <c r="D78" s="62"/>
      <c r="E78" s="62"/>
      <c r="F78" s="63"/>
    </row>
    <row r="79" spans="1:6" x14ac:dyDescent="0.3">
      <c r="A79" s="64"/>
      <c r="B79" s="61"/>
      <c r="C79" s="67" t="str">
        <f>IF(B79="","",IFERROR(INDEX(Carteira!$B$5:$B$204,MATCH(B79,Carteira!$A$5:$A$204,0)),"Obra não cadastrada"))</f>
        <v/>
      </c>
      <c r="D79" s="62"/>
      <c r="E79" s="62"/>
      <c r="F79" s="63"/>
    </row>
    <row r="80" spans="1:6" x14ac:dyDescent="0.3">
      <c r="A80" s="64"/>
      <c r="B80" s="61"/>
      <c r="C80" s="67" t="str">
        <f>IF(B80="","",IFERROR(INDEX(Carteira!$B$5:$B$204,MATCH(B80,Carteira!$A$5:$A$204,0)),"Obra não cadastrada"))</f>
        <v/>
      </c>
      <c r="D80" s="62"/>
      <c r="E80" s="62"/>
      <c r="F80" s="63"/>
    </row>
    <row r="81" spans="1:6" x14ac:dyDescent="0.3">
      <c r="A81" s="64"/>
      <c r="B81" s="61"/>
      <c r="C81" s="67" t="str">
        <f>IF(B81="","",IFERROR(INDEX(Carteira!$B$5:$B$204,MATCH(B81,Carteira!$A$5:$A$204,0)),"Obra não cadastrada"))</f>
        <v/>
      </c>
      <c r="D81" s="62"/>
      <c r="E81" s="62"/>
      <c r="F81" s="63"/>
    </row>
    <row r="82" spans="1:6" x14ac:dyDescent="0.3">
      <c r="A82" s="64"/>
      <c r="B82" s="61"/>
      <c r="C82" s="67" t="str">
        <f>IF(B82="","",IFERROR(INDEX(Carteira!$B$5:$B$204,MATCH(B82,Carteira!$A$5:$A$204,0)),"Obra não cadastrada"))</f>
        <v/>
      </c>
      <c r="D82" s="62"/>
      <c r="E82" s="62"/>
      <c r="F82" s="63"/>
    </row>
    <row r="83" spans="1:6" x14ac:dyDescent="0.3">
      <c r="A83" s="64"/>
      <c r="B83" s="61"/>
      <c r="C83" s="67" t="str">
        <f>IF(B83="","",IFERROR(INDEX(Carteira!$B$5:$B$204,MATCH(B83,Carteira!$A$5:$A$204,0)),"Obra não cadastrada"))</f>
        <v/>
      </c>
      <c r="D83" s="62"/>
      <c r="E83" s="62"/>
      <c r="F83" s="63"/>
    </row>
    <row r="84" spans="1:6" x14ac:dyDescent="0.3">
      <c r="A84" s="64"/>
      <c r="B84" s="61"/>
      <c r="C84" s="67" t="str">
        <f>IF(B84="","",IFERROR(INDEX(Carteira!$B$5:$B$204,MATCH(B84,Carteira!$A$5:$A$204,0)),"Obra não cadastrada"))</f>
        <v/>
      </c>
      <c r="D84" s="62"/>
      <c r="E84" s="62"/>
      <c r="F84" s="63"/>
    </row>
    <row r="85" spans="1:6" x14ac:dyDescent="0.3">
      <c r="A85" s="64"/>
      <c r="B85" s="61"/>
      <c r="C85" s="67" t="str">
        <f>IF(B85="","",IFERROR(INDEX(Carteira!$B$5:$B$204,MATCH(B85,Carteira!$A$5:$A$204,0)),"Obra não cadastrada"))</f>
        <v/>
      </c>
      <c r="D85" s="62"/>
      <c r="E85" s="62"/>
      <c r="F85" s="63"/>
    </row>
    <row r="86" spans="1:6" x14ac:dyDescent="0.3">
      <c r="A86" s="64"/>
      <c r="B86" s="61"/>
      <c r="C86" s="67" t="str">
        <f>IF(B86="","",IFERROR(INDEX(Carteira!$B$5:$B$204,MATCH(B86,Carteira!$A$5:$A$204,0)),"Obra não cadastrada"))</f>
        <v/>
      </c>
      <c r="D86" s="62"/>
      <c r="E86" s="62"/>
      <c r="F86" s="63"/>
    </row>
    <row r="87" spans="1:6" x14ac:dyDescent="0.3">
      <c r="A87" s="64"/>
      <c r="B87" s="61"/>
      <c r="C87" s="67" t="str">
        <f>IF(B87="","",IFERROR(INDEX(Carteira!$B$5:$B$204,MATCH(B87,Carteira!$A$5:$A$204,0)),"Obra não cadastrada"))</f>
        <v/>
      </c>
      <c r="D87" s="62"/>
      <c r="E87" s="62"/>
      <c r="F87" s="63"/>
    </row>
    <row r="88" spans="1:6" x14ac:dyDescent="0.3">
      <c r="A88" s="64"/>
      <c r="B88" s="61"/>
      <c r="C88" s="67" t="str">
        <f>IF(B88="","",IFERROR(INDEX(Carteira!$B$5:$B$204,MATCH(B88,Carteira!$A$5:$A$204,0)),"Obra não cadastrada"))</f>
        <v/>
      </c>
      <c r="D88" s="62"/>
      <c r="E88" s="62"/>
      <c r="F88" s="63"/>
    </row>
    <row r="89" spans="1:6" x14ac:dyDescent="0.3">
      <c r="A89" s="64"/>
      <c r="B89" s="61"/>
      <c r="C89" s="67" t="str">
        <f>IF(B89="","",IFERROR(INDEX(Carteira!$B$5:$B$204,MATCH(B89,Carteira!$A$5:$A$204,0)),"Obra não cadastrada"))</f>
        <v/>
      </c>
      <c r="D89" s="62"/>
      <c r="E89" s="62"/>
      <c r="F89" s="63"/>
    </row>
    <row r="90" spans="1:6" x14ac:dyDescent="0.3">
      <c r="A90" s="64"/>
      <c r="B90" s="61"/>
      <c r="C90" s="67" t="str">
        <f>IF(B90="","",IFERROR(INDEX(Carteira!$B$5:$B$204,MATCH(B90,Carteira!$A$5:$A$204,0)),"Obra não cadastrada"))</f>
        <v/>
      </c>
      <c r="D90" s="62"/>
      <c r="E90" s="62"/>
      <c r="F90" s="63"/>
    </row>
    <row r="91" spans="1:6" x14ac:dyDescent="0.3">
      <c r="A91" s="64"/>
      <c r="B91" s="61"/>
      <c r="C91" s="67" t="str">
        <f>IF(B91="","",IFERROR(INDEX(Carteira!$B$5:$B$204,MATCH(B91,Carteira!$A$5:$A$204,0)),"Obra não cadastrada"))</f>
        <v/>
      </c>
      <c r="D91" s="62"/>
      <c r="E91" s="62"/>
      <c r="F91" s="63"/>
    </row>
    <row r="92" spans="1:6" x14ac:dyDescent="0.3">
      <c r="A92" s="64"/>
      <c r="B92" s="61"/>
      <c r="C92" s="67" t="str">
        <f>IF(B92="","",IFERROR(INDEX(Carteira!$B$5:$B$204,MATCH(B92,Carteira!$A$5:$A$204,0)),"Obra não cadastrada"))</f>
        <v/>
      </c>
      <c r="D92" s="62"/>
      <c r="E92" s="62"/>
      <c r="F92" s="63"/>
    </row>
    <row r="93" spans="1:6" x14ac:dyDescent="0.3">
      <c r="A93" s="64"/>
      <c r="B93" s="61"/>
      <c r="C93" s="67" t="str">
        <f>IF(B93="","",IFERROR(INDEX(Carteira!$B$5:$B$204,MATCH(B93,Carteira!$A$5:$A$204,0)),"Obra não cadastrada"))</f>
        <v/>
      </c>
      <c r="D93" s="62"/>
      <c r="E93" s="62"/>
      <c r="F93" s="63"/>
    </row>
    <row r="94" spans="1:6" x14ac:dyDescent="0.3">
      <c r="A94" s="64"/>
      <c r="B94" s="61"/>
      <c r="C94" s="67" t="str">
        <f>IF(B94="","",IFERROR(INDEX(Carteira!$B$5:$B$204,MATCH(B94,Carteira!$A$5:$A$204,0)),"Obra não cadastrada"))</f>
        <v/>
      </c>
      <c r="D94" s="62"/>
      <c r="E94" s="62"/>
      <c r="F94" s="63"/>
    </row>
    <row r="95" spans="1:6" x14ac:dyDescent="0.3">
      <c r="A95" s="64"/>
      <c r="B95" s="61"/>
      <c r="C95" s="67" t="str">
        <f>IF(B95="","",IFERROR(INDEX(Carteira!$B$5:$B$204,MATCH(B95,Carteira!$A$5:$A$204,0)),"Obra não cadastrada"))</f>
        <v/>
      </c>
      <c r="D95" s="62"/>
      <c r="E95" s="62"/>
      <c r="F95" s="63"/>
    </row>
    <row r="96" spans="1:6" x14ac:dyDescent="0.3">
      <c r="A96" s="64"/>
      <c r="B96" s="61"/>
      <c r="C96" s="67" t="str">
        <f>IF(B96="","",IFERROR(INDEX(Carteira!$B$5:$B$204,MATCH(B96,Carteira!$A$5:$A$204,0)),"Obra não cadastrada"))</f>
        <v/>
      </c>
      <c r="D96" s="62"/>
      <c r="E96" s="62"/>
      <c r="F96" s="63"/>
    </row>
    <row r="97" spans="1:6" x14ac:dyDescent="0.3">
      <c r="A97" s="64"/>
      <c r="B97" s="61"/>
      <c r="C97" s="67" t="str">
        <f>IF(B97="","",IFERROR(INDEX(Carteira!$B$5:$B$204,MATCH(B97,Carteira!$A$5:$A$204,0)),"Obra não cadastrada"))</f>
        <v/>
      </c>
      <c r="D97" s="62"/>
      <c r="E97" s="62"/>
      <c r="F97" s="63"/>
    </row>
    <row r="98" spans="1:6" x14ac:dyDescent="0.3">
      <c r="A98" s="64"/>
      <c r="B98" s="61"/>
      <c r="C98" s="67" t="str">
        <f>IF(B98="","",IFERROR(INDEX(Carteira!$B$5:$B$204,MATCH(B98,Carteira!$A$5:$A$204,0)),"Obra não cadastrada"))</f>
        <v/>
      </c>
      <c r="D98" s="62"/>
      <c r="E98" s="62"/>
      <c r="F98" s="63"/>
    </row>
    <row r="99" spans="1:6" x14ac:dyDescent="0.3">
      <c r="A99" s="64"/>
      <c r="B99" s="61"/>
      <c r="C99" s="67" t="str">
        <f>IF(B99="","",IFERROR(INDEX(Carteira!$B$5:$B$204,MATCH(B99,Carteira!$A$5:$A$204,0)),"Obra não cadastrada"))</f>
        <v/>
      </c>
      <c r="D99" s="62"/>
      <c r="E99" s="62"/>
      <c r="F99" s="63"/>
    </row>
    <row r="100" spans="1:6" x14ac:dyDescent="0.3">
      <c r="A100" s="64"/>
      <c r="B100" s="61"/>
      <c r="C100" s="67" t="str">
        <f>IF(B100="","",IFERROR(INDEX(Carteira!$B$5:$B$204,MATCH(B100,Carteira!$A$5:$A$204,0)),"Obra não cadastrada"))</f>
        <v/>
      </c>
      <c r="D100" s="62"/>
      <c r="E100" s="62"/>
      <c r="F100" s="63"/>
    </row>
    <row r="101" spans="1:6" x14ac:dyDescent="0.3">
      <c r="A101" s="64"/>
      <c r="B101" s="61"/>
      <c r="C101" s="67" t="str">
        <f>IF(B101="","",IFERROR(INDEX(Carteira!$B$5:$B$204,MATCH(B101,Carteira!$A$5:$A$204,0)),"Obra não cadastrada"))</f>
        <v/>
      </c>
      <c r="D101" s="62"/>
      <c r="E101" s="62"/>
      <c r="F101" s="63"/>
    </row>
    <row r="102" spans="1:6" x14ac:dyDescent="0.3">
      <c r="A102" s="64"/>
      <c r="B102" s="61"/>
      <c r="C102" s="67" t="str">
        <f>IF(B102="","",IFERROR(INDEX(Carteira!$B$5:$B$204,MATCH(B102,Carteira!$A$5:$A$204,0)),"Obra não cadastrada"))</f>
        <v/>
      </c>
      <c r="D102" s="62"/>
      <c r="E102" s="62"/>
      <c r="F102" s="63"/>
    </row>
    <row r="103" spans="1:6" x14ac:dyDescent="0.3">
      <c r="A103" s="64"/>
      <c r="B103" s="61"/>
      <c r="C103" s="67" t="str">
        <f>IF(B103="","",IFERROR(INDEX(Carteira!$B$5:$B$204,MATCH(B103,Carteira!$A$5:$A$204,0)),"Obra não cadastrada"))</f>
        <v/>
      </c>
      <c r="D103" s="62"/>
      <c r="E103" s="62"/>
      <c r="F103" s="63"/>
    </row>
    <row r="104" spans="1:6" x14ac:dyDescent="0.3">
      <c r="A104" s="64"/>
      <c r="B104" s="61"/>
      <c r="C104" s="67" t="str">
        <f>IF(B104="","",IFERROR(INDEX(Carteira!$B$5:$B$204,MATCH(B104,Carteira!$A$5:$A$204,0)),"Obra não cadastrada"))</f>
        <v/>
      </c>
      <c r="D104" s="62"/>
      <c r="E104" s="62"/>
      <c r="F104" s="63"/>
    </row>
    <row r="105" spans="1:6" x14ac:dyDescent="0.3">
      <c r="A105" s="64"/>
      <c r="B105" s="61"/>
      <c r="C105" s="67" t="str">
        <f>IF(B105="","",IFERROR(INDEX(Carteira!$B$5:$B$204,MATCH(B105,Carteira!$A$5:$A$204,0)),"Obra não cadastrada"))</f>
        <v/>
      </c>
      <c r="D105" s="62"/>
      <c r="E105" s="62"/>
      <c r="F105" s="63"/>
    </row>
    <row r="106" spans="1:6" x14ac:dyDescent="0.3">
      <c r="A106" s="64"/>
      <c r="B106" s="61"/>
      <c r="C106" s="67" t="str">
        <f>IF(B106="","",IFERROR(INDEX(Carteira!$B$5:$B$204,MATCH(B106,Carteira!$A$5:$A$204,0)),"Obra não cadastrada"))</f>
        <v/>
      </c>
      <c r="D106" s="62"/>
      <c r="E106" s="62"/>
      <c r="F106" s="63"/>
    </row>
    <row r="107" spans="1:6" x14ac:dyDescent="0.3">
      <c r="A107" s="64"/>
      <c r="B107" s="61"/>
      <c r="C107" s="67" t="str">
        <f>IF(B107="","",IFERROR(INDEX(Carteira!$B$5:$B$204,MATCH(B107,Carteira!$A$5:$A$204,0)),"Obra não cadastrada"))</f>
        <v/>
      </c>
      <c r="D107" s="62"/>
      <c r="E107" s="62"/>
      <c r="F107" s="63"/>
    </row>
    <row r="108" spans="1:6" x14ac:dyDescent="0.3">
      <c r="A108" s="64"/>
      <c r="B108" s="61"/>
      <c r="C108" s="67" t="str">
        <f>IF(B108="","",IFERROR(INDEX(Carteira!$B$5:$B$204,MATCH(B108,Carteira!$A$5:$A$204,0)),"Obra não cadastrada"))</f>
        <v/>
      </c>
      <c r="D108" s="62"/>
      <c r="E108" s="62"/>
      <c r="F108" s="63"/>
    </row>
    <row r="109" spans="1:6" x14ac:dyDescent="0.3">
      <c r="A109" s="64"/>
      <c r="B109" s="61"/>
      <c r="C109" s="67" t="str">
        <f>IF(B109="","",IFERROR(INDEX(Carteira!$B$5:$B$204,MATCH(B109,Carteira!$A$5:$A$204,0)),"Obra não cadastrada"))</f>
        <v/>
      </c>
      <c r="D109" s="62"/>
      <c r="E109" s="62"/>
      <c r="F109" s="63"/>
    </row>
    <row r="110" spans="1:6" x14ac:dyDescent="0.3">
      <c r="A110" s="64"/>
      <c r="B110" s="61"/>
      <c r="C110" s="67" t="str">
        <f>IF(B110="","",IFERROR(INDEX(Carteira!$B$5:$B$204,MATCH(B110,Carteira!$A$5:$A$204,0)),"Obra não cadastrada"))</f>
        <v/>
      </c>
      <c r="D110" s="62"/>
      <c r="E110" s="62"/>
      <c r="F110" s="63"/>
    </row>
    <row r="111" spans="1:6" x14ac:dyDescent="0.3">
      <c r="A111" s="64"/>
      <c r="B111" s="61"/>
      <c r="C111" s="67" t="str">
        <f>IF(B111="","",IFERROR(INDEX(Carteira!$B$5:$B$204,MATCH(B111,Carteira!$A$5:$A$204,0)),"Obra não cadastrada"))</f>
        <v/>
      </c>
      <c r="D111" s="62"/>
      <c r="E111" s="62"/>
      <c r="F111" s="63"/>
    </row>
    <row r="112" spans="1:6" x14ac:dyDescent="0.3">
      <c r="A112" s="64"/>
      <c r="B112" s="61"/>
      <c r="C112" s="67" t="str">
        <f>IF(B112="","",IFERROR(INDEX(Carteira!$B$5:$B$204,MATCH(B112,Carteira!$A$5:$A$204,0)),"Obra não cadastrada"))</f>
        <v/>
      </c>
      <c r="D112" s="62"/>
      <c r="E112" s="62"/>
      <c r="F112" s="63"/>
    </row>
    <row r="113" spans="1:6" x14ac:dyDescent="0.3">
      <c r="A113" s="64"/>
      <c r="B113" s="61"/>
      <c r="C113" s="67" t="str">
        <f>IF(B113="","",IFERROR(INDEX(Carteira!$B$5:$B$204,MATCH(B113,Carteira!$A$5:$A$204,0)),"Obra não cadastrada"))</f>
        <v/>
      </c>
      <c r="D113" s="62"/>
      <c r="E113" s="62"/>
      <c r="F113" s="63"/>
    </row>
    <row r="114" spans="1:6" x14ac:dyDescent="0.3">
      <c r="A114" s="64"/>
      <c r="B114" s="61"/>
      <c r="C114" s="67" t="str">
        <f>IF(B114="","",IFERROR(INDEX(Carteira!$B$5:$B$204,MATCH(B114,Carteira!$A$5:$A$204,0)),"Obra não cadastrada"))</f>
        <v/>
      </c>
      <c r="D114" s="62"/>
      <c r="E114" s="62"/>
      <c r="F114" s="63"/>
    </row>
    <row r="115" spans="1:6" x14ac:dyDescent="0.3">
      <c r="A115" s="64"/>
      <c r="B115" s="61"/>
      <c r="C115" s="67" t="str">
        <f>IF(B115="","",IFERROR(INDEX(Carteira!$B$5:$B$204,MATCH(B115,Carteira!$A$5:$A$204,0)),"Obra não cadastrada"))</f>
        <v/>
      </c>
      <c r="D115" s="62"/>
      <c r="E115" s="62"/>
      <c r="F115" s="63"/>
    </row>
    <row r="116" spans="1:6" x14ac:dyDescent="0.3">
      <c r="A116" s="64"/>
      <c r="B116" s="61"/>
      <c r="C116" s="67" t="str">
        <f>IF(B116="","",IFERROR(INDEX(Carteira!$B$5:$B$204,MATCH(B116,Carteira!$A$5:$A$204,0)),"Obra não cadastrada"))</f>
        <v/>
      </c>
      <c r="D116" s="62"/>
      <c r="E116" s="62"/>
      <c r="F116" s="63"/>
    </row>
    <row r="117" spans="1:6" x14ac:dyDescent="0.3">
      <c r="A117" s="64"/>
      <c r="B117" s="61"/>
      <c r="C117" s="67" t="str">
        <f>IF(B117="","",IFERROR(INDEX(Carteira!$B$5:$B$204,MATCH(B117,Carteira!$A$5:$A$204,0)),"Obra não cadastrada"))</f>
        <v/>
      </c>
      <c r="D117" s="62"/>
      <c r="E117" s="62"/>
      <c r="F117" s="63"/>
    </row>
    <row r="118" spans="1:6" x14ac:dyDescent="0.3">
      <c r="A118" s="64"/>
      <c r="B118" s="61"/>
      <c r="C118" s="67" t="str">
        <f>IF(B118="","",IFERROR(INDEX(Carteira!$B$5:$B$204,MATCH(B118,Carteira!$A$5:$A$204,0)),"Obra não cadastrada"))</f>
        <v/>
      </c>
      <c r="D118" s="62"/>
      <c r="E118" s="62"/>
      <c r="F118" s="63"/>
    </row>
    <row r="119" spans="1:6" x14ac:dyDescent="0.3">
      <c r="A119" s="64"/>
      <c r="B119" s="61"/>
      <c r="C119" s="67" t="str">
        <f>IF(B119="","",IFERROR(INDEX(Carteira!$B$5:$B$204,MATCH(B119,Carteira!$A$5:$A$204,0)),"Obra não cadastrada"))</f>
        <v/>
      </c>
      <c r="D119" s="62"/>
      <c r="E119" s="62"/>
      <c r="F119" s="63"/>
    </row>
    <row r="120" spans="1:6" x14ac:dyDescent="0.3">
      <c r="A120" s="64"/>
      <c r="B120" s="61"/>
      <c r="C120" s="67" t="str">
        <f>IF(B120="","",IFERROR(INDEX(Carteira!$B$5:$B$204,MATCH(B120,Carteira!$A$5:$A$204,0)),"Obra não cadastrada"))</f>
        <v/>
      </c>
      <c r="D120" s="62"/>
      <c r="E120" s="62"/>
      <c r="F120" s="63"/>
    </row>
    <row r="121" spans="1:6" x14ac:dyDescent="0.3">
      <c r="A121" s="64"/>
      <c r="B121" s="61"/>
      <c r="C121" s="67" t="str">
        <f>IF(B121="","",IFERROR(INDEX(Carteira!$B$5:$B$204,MATCH(B121,Carteira!$A$5:$A$204,0)),"Obra não cadastrada"))</f>
        <v/>
      </c>
      <c r="D121" s="62"/>
      <c r="E121" s="62"/>
      <c r="F121" s="63"/>
    </row>
    <row r="122" spans="1:6" x14ac:dyDescent="0.3">
      <c r="A122" s="64"/>
      <c r="B122" s="61"/>
      <c r="C122" s="67" t="str">
        <f>IF(B122="","",IFERROR(INDEX(Carteira!$B$5:$B$204,MATCH(B122,Carteira!$A$5:$A$204,0)),"Obra não cadastrada"))</f>
        <v/>
      </c>
      <c r="D122" s="62"/>
      <c r="E122" s="62"/>
      <c r="F122" s="63"/>
    </row>
    <row r="123" spans="1:6" x14ac:dyDescent="0.3">
      <c r="A123" s="64"/>
      <c r="B123" s="61"/>
      <c r="C123" s="67" t="str">
        <f>IF(B123="","",IFERROR(INDEX(Carteira!$B$5:$B$204,MATCH(B123,Carteira!$A$5:$A$204,0)),"Obra não cadastrada"))</f>
        <v/>
      </c>
      <c r="D123" s="62"/>
      <c r="E123" s="62"/>
      <c r="F123" s="63"/>
    </row>
    <row r="124" spans="1:6" x14ac:dyDescent="0.3">
      <c r="A124" s="64"/>
      <c r="B124" s="61"/>
      <c r="C124" s="67" t="str">
        <f>IF(B124="","",IFERROR(INDEX(Carteira!$B$5:$B$204,MATCH(B124,Carteira!$A$5:$A$204,0)),"Obra não cadastrada"))</f>
        <v/>
      </c>
      <c r="D124" s="62"/>
      <c r="E124" s="62"/>
      <c r="F124" s="63"/>
    </row>
    <row r="125" spans="1:6" x14ac:dyDescent="0.3">
      <c r="A125" s="64"/>
      <c r="B125" s="61"/>
      <c r="C125" s="67" t="str">
        <f>IF(B125="","",IFERROR(INDEX(Carteira!$B$5:$B$204,MATCH(B125,Carteira!$A$5:$A$204,0)),"Obra não cadastrada"))</f>
        <v/>
      </c>
      <c r="D125" s="62"/>
      <c r="E125" s="62"/>
      <c r="F125" s="63"/>
    </row>
    <row r="126" spans="1:6" x14ac:dyDescent="0.3">
      <c r="A126" s="64"/>
      <c r="B126" s="61"/>
      <c r="C126" s="67" t="str">
        <f>IF(B126="","",IFERROR(INDEX(Carteira!$B$5:$B$204,MATCH(B126,Carteira!$A$5:$A$204,0)),"Obra não cadastrada"))</f>
        <v/>
      </c>
      <c r="D126" s="62"/>
      <c r="E126" s="62"/>
      <c r="F126" s="63"/>
    </row>
    <row r="127" spans="1:6" x14ac:dyDescent="0.3">
      <c r="A127" s="64"/>
      <c r="B127" s="61"/>
      <c r="C127" s="67" t="str">
        <f>IF(B127="","",IFERROR(INDEX(Carteira!$B$5:$B$204,MATCH(B127,Carteira!$A$5:$A$204,0)),"Obra não cadastrada"))</f>
        <v/>
      </c>
      <c r="D127" s="62"/>
      <c r="E127" s="62"/>
      <c r="F127" s="63"/>
    </row>
    <row r="128" spans="1:6" x14ac:dyDescent="0.3">
      <c r="A128" s="64"/>
      <c r="B128" s="61"/>
      <c r="C128" s="67" t="str">
        <f>IF(B128="","",IFERROR(INDEX(Carteira!$B$5:$B$204,MATCH(B128,Carteira!$A$5:$A$204,0)),"Obra não cadastrada"))</f>
        <v/>
      </c>
      <c r="D128" s="62"/>
      <c r="E128" s="62"/>
      <c r="F128" s="63"/>
    </row>
    <row r="129" spans="1:6" x14ac:dyDescent="0.3">
      <c r="A129" s="64"/>
      <c r="B129" s="61"/>
      <c r="C129" s="67" t="str">
        <f>IF(B129="","",IFERROR(INDEX(Carteira!$B$5:$B$204,MATCH(B129,Carteira!$A$5:$A$204,0)),"Obra não cadastrada"))</f>
        <v/>
      </c>
      <c r="D129" s="62"/>
      <c r="E129" s="62"/>
      <c r="F129" s="63"/>
    </row>
    <row r="130" spans="1:6" x14ac:dyDescent="0.3">
      <c r="A130" s="64"/>
      <c r="B130" s="61"/>
      <c r="C130" s="67" t="str">
        <f>IF(B130="","",IFERROR(INDEX(Carteira!$B$5:$B$204,MATCH(B130,Carteira!$A$5:$A$204,0)),"Obra não cadastrada"))</f>
        <v/>
      </c>
      <c r="D130" s="62"/>
      <c r="E130" s="62"/>
      <c r="F130" s="63"/>
    </row>
    <row r="131" spans="1:6" x14ac:dyDescent="0.3">
      <c r="A131" s="64"/>
      <c r="B131" s="61"/>
      <c r="C131" s="67" t="str">
        <f>IF(B131="","",IFERROR(INDEX(Carteira!$B$5:$B$204,MATCH(B131,Carteira!$A$5:$A$204,0)),"Obra não cadastrada"))</f>
        <v/>
      </c>
      <c r="D131" s="62"/>
      <c r="E131" s="62"/>
      <c r="F131" s="63"/>
    </row>
    <row r="132" spans="1:6" x14ac:dyDescent="0.3">
      <c r="A132" s="64"/>
      <c r="B132" s="61"/>
      <c r="C132" s="67" t="str">
        <f>IF(B132="","",IFERROR(INDEX(Carteira!$B$5:$B$204,MATCH(B132,Carteira!$A$5:$A$204,0)),"Obra não cadastrada"))</f>
        <v/>
      </c>
      <c r="D132" s="62"/>
      <c r="E132" s="62"/>
      <c r="F132" s="63"/>
    </row>
    <row r="133" spans="1:6" x14ac:dyDescent="0.3">
      <c r="A133" s="64"/>
      <c r="B133" s="61"/>
      <c r="C133" s="67" t="str">
        <f>IF(B133="","",IFERROR(INDEX(Carteira!$B$5:$B$204,MATCH(B133,Carteira!$A$5:$A$204,0)),"Obra não cadastrada"))</f>
        <v/>
      </c>
      <c r="D133" s="62"/>
      <c r="E133" s="62"/>
      <c r="F133" s="63"/>
    </row>
    <row r="134" spans="1:6" x14ac:dyDescent="0.3">
      <c r="A134" s="64"/>
      <c r="B134" s="61"/>
      <c r="C134" s="67" t="str">
        <f>IF(B134="","",IFERROR(INDEX(Carteira!$B$5:$B$204,MATCH(B134,Carteira!$A$5:$A$204,0)),"Obra não cadastrada"))</f>
        <v/>
      </c>
      <c r="D134" s="62"/>
      <c r="E134" s="62"/>
      <c r="F134" s="63"/>
    </row>
    <row r="135" spans="1:6" x14ac:dyDescent="0.3">
      <c r="A135" s="64"/>
      <c r="B135" s="61"/>
      <c r="C135" s="67" t="str">
        <f>IF(B135="","",IFERROR(INDEX(Carteira!$B$5:$B$204,MATCH(B135,Carteira!$A$5:$A$204,0)),"Obra não cadastrada"))</f>
        <v/>
      </c>
      <c r="D135" s="62"/>
      <c r="E135" s="62"/>
      <c r="F135" s="63"/>
    </row>
    <row r="136" spans="1:6" x14ac:dyDescent="0.3">
      <c r="A136" s="64"/>
      <c r="B136" s="61"/>
      <c r="C136" s="67" t="str">
        <f>IF(B136="","",IFERROR(INDEX(Carteira!$B$5:$B$204,MATCH(B136,Carteira!$A$5:$A$204,0)),"Obra não cadastrada"))</f>
        <v/>
      </c>
      <c r="D136" s="62"/>
      <c r="E136" s="62"/>
      <c r="F136" s="63"/>
    </row>
    <row r="137" spans="1:6" x14ac:dyDescent="0.3">
      <c r="A137" s="64"/>
      <c r="B137" s="61"/>
      <c r="C137" s="67" t="str">
        <f>IF(B137="","",IFERROR(INDEX(Carteira!$B$5:$B$204,MATCH(B137,Carteira!$A$5:$A$204,0)),"Obra não cadastrada"))</f>
        <v/>
      </c>
      <c r="D137" s="62"/>
      <c r="E137" s="62"/>
      <c r="F137" s="63"/>
    </row>
    <row r="138" spans="1:6" x14ac:dyDescent="0.3">
      <c r="A138" s="64"/>
      <c r="B138" s="61"/>
      <c r="C138" s="67" t="str">
        <f>IF(B138="","",IFERROR(INDEX(Carteira!$B$5:$B$204,MATCH(B138,Carteira!$A$5:$A$204,0)),"Obra não cadastrada"))</f>
        <v/>
      </c>
      <c r="D138" s="62"/>
      <c r="E138" s="62"/>
      <c r="F138" s="63"/>
    </row>
    <row r="139" spans="1:6" x14ac:dyDescent="0.3">
      <c r="A139" s="64"/>
      <c r="B139" s="61"/>
      <c r="C139" s="67" t="str">
        <f>IF(B139="","",IFERROR(INDEX(Carteira!$B$5:$B$204,MATCH(B139,Carteira!$A$5:$A$204,0)),"Obra não cadastrada"))</f>
        <v/>
      </c>
      <c r="D139" s="62"/>
      <c r="E139" s="62"/>
      <c r="F139" s="63"/>
    </row>
    <row r="140" spans="1:6" x14ac:dyDescent="0.3">
      <c r="A140" s="64"/>
      <c r="B140" s="61"/>
      <c r="C140" s="67" t="str">
        <f>IF(B140="","",IFERROR(INDEX(Carteira!$B$5:$B$204,MATCH(B140,Carteira!$A$5:$A$204,0)),"Obra não cadastrada"))</f>
        <v/>
      </c>
      <c r="D140" s="62"/>
      <c r="E140" s="62"/>
      <c r="F140" s="63"/>
    </row>
    <row r="141" spans="1:6" x14ac:dyDescent="0.3">
      <c r="A141" s="64"/>
      <c r="B141" s="61"/>
      <c r="C141" s="67" t="str">
        <f>IF(B141="","",IFERROR(INDEX(Carteira!$B$5:$B$204,MATCH(B141,Carteira!$A$5:$A$204,0)),"Obra não cadastrada"))</f>
        <v/>
      </c>
      <c r="D141" s="62"/>
      <c r="E141" s="62"/>
      <c r="F141" s="63"/>
    </row>
    <row r="142" spans="1:6" x14ac:dyDescent="0.3">
      <c r="A142" s="64"/>
      <c r="B142" s="61"/>
      <c r="C142" s="67" t="str">
        <f>IF(B142="","",IFERROR(INDEX(Carteira!$B$5:$B$204,MATCH(B142,Carteira!$A$5:$A$204,0)),"Obra não cadastrada"))</f>
        <v/>
      </c>
      <c r="D142" s="62"/>
      <c r="E142" s="62"/>
      <c r="F142" s="63"/>
    </row>
    <row r="143" spans="1:6" x14ac:dyDescent="0.3">
      <c r="A143" s="64"/>
      <c r="B143" s="61"/>
      <c r="C143" s="67" t="str">
        <f>IF(B143="","",IFERROR(INDEX(Carteira!$B$5:$B$204,MATCH(B143,Carteira!$A$5:$A$204,0)),"Obra não cadastrada"))</f>
        <v/>
      </c>
      <c r="D143" s="62"/>
      <c r="E143" s="62"/>
      <c r="F143" s="63"/>
    </row>
    <row r="144" spans="1:6" x14ac:dyDescent="0.3">
      <c r="A144" s="64"/>
      <c r="B144" s="61"/>
      <c r="C144" s="67" t="str">
        <f>IF(B144="","",IFERROR(INDEX(Carteira!$B$5:$B$204,MATCH(B144,Carteira!$A$5:$A$204,0)),"Obra não cadastrada"))</f>
        <v/>
      </c>
      <c r="D144" s="62"/>
      <c r="E144" s="62"/>
      <c r="F144" s="63"/>
    </row>
    <row r="145" spans="1:6" x14ac:dyDescent="0.3">
      <c r="A145" s="64"/>
      <c r="B145" s="61"/>
      <c r="C145" s="67" t="str">
        <f>IF(B145="","",IFERROR(INDEX(Carteira!$B$5:$B$204,MATCH(B145,Carteira!$A$5:$A$204,0)),"Obra não cadastrada"))</f>
        <v/>
      </c>
      <c r="D145" s="62"/>
      <c r="E145" s="62"/>
      <c r="F145" s="63"/>
    </row>
    <row r="146" spans="1:6" x14ac:dyDescent="0.3">
      <c r="A146" s="64"/>
      <c r="B146" s="61"/>
      <c r="C146" s="67" t="str">
        <f>IF(B146="","",IFERROR(INDEX(Carteira!$B$5:$B$204,MATCH(B146,Carteira!$A$5:$A$204,0)),"Obra não cadastrada"))</f>
        <v/>
      </c>
      <c r="D146" s="62"/>
      <c r="E146" s="62"/>
      <c r="F146" s="63"/>
    </row>
    <row r="147" spans="1:6" x14ac:dyDescent="0.3">
      <c r="A147" s="64"/>
      <c r="B147" s="61"/>
      <c r="C147" s="67" t="str">
        <f>IF(B147="","",IFERROR(INDEX(Carteira!$B$5:$B$204,MATCH(B147,Carteira!$A$5:$A$204,0)),"Obra não cadastrada"))</f>
        <v/>
      </c>
      <c r="D147" s="62"/>
      <c r="E147" s="62"/>
      <c r="F147" s="63"/>
    </row>
    <row r="148" spans="1:6" x14ac:dyDescent="0.3">
      <c r="A148" s="64"/>
      <c r="B148" s="61"/>
      <c r="C148" s="67" t="str">
        <f>IF(B148="","",IFERROR(INDEX(Carteira!$B$5:$B$204,MATCH(B148,Carteira!$A$5:$A$204,0)),"Obra não cadastrada"))</f>
        <v/>
      </c>
      <c r="D148" s="62"/>
      <c r="E148" s="62"/>
      <c r="F148" s="63"/>
    </row>
    <row r="149" spans="1:6" x14ac:dyDescent="0.3">
      <c r="A149" s="64"/>
      <c r="B149" s="61"/>
      <c r="C149" s="67" t="str">
        <f>IF(B149="","",IFERROR(INDEX(Carteira!$B$5:$B$204,MATCH(B149,Carteira!$A$5:$A$204,0)),"Obra não cadastrada"))</f>
        <v/>
      </c>
      <c r="D149" s="62"/>
      <c r="E149" s="62"/>
      <c r="F149" s="63"/>
    </row>
    <row r="150" spans="1:6" x14ac:dyDescent="0.3">
      <c r="A150" s="64"/>
      <c r="B150" s="61"/>
      <c r="C150" s="67" t="str">
        <f>IF(B150="","",IFERROR(INDEX(Carteira!$B$5:$B$204,MATCH(B150,Carteira!$A$5:$A$204,0)),"Obra não cadastrada"))</f>
        <v/>
      </c>
      <c r="D150" s="62"/>
      <c r="E150" s="62"/>
      <c r="F150" s="63"/>
    </row>
    <row r="151" spans="1:6" x14ac:dyDescent="0.3">
      <c r="A151" s="64"/>
      <c r="B151" s="61"/>
      <c r="C151" s="67" t="str">
        <f>IF(B151="","",IFERROR(INDEX(Carteira!$B$5:$B$204,MATCH(B151,Carteira!$A$5:$A$204,0)),"Obra não cadastrada"))</f>
        <v/>
      </c>
      <c r="D151" s="62"/>
      <c r="E151" s="62"/>
      <c r="F151" s="63"/>
    </row>
    <row r="152" spans="1:6" x14ac:dyDescent="0.3">
      <c r="A152" s="64"/>
      <c r="B152" s="61"/>
      <c r="C152" s="67" t="str">
        <f>IF(B152="","",IFERROR(INDEX(Carteira!$B$5:$B$204,MATCH(B152,Carteira!$A$5:$A$204,0)),"Obra não cadastrada"))</f>
        <v/>
      </c>
      <c r="D152" s="62"/>
      <c r="E152" s="62"/>
      <c r="F152" s="63"/>
    </row>
    <row r="153" spans="1:6" x14ac:dyDescent="0.3">
      <c r="A153" s="64"/>
      <c r="B153" s="61"/>
      <c r="C153" s="67" t="str">
        <f>IF(B153="","",IFERROR(INDEX(Carteira!$B$5:$B$204,MATCH(B153,Carteira!$A$5:$A$204,0)),"Obra não cadastrada"))</f>
        <v/>
      </c>
      <c r="D153" s="62"/>
      <c r="E153" s="62"/>
      <c r="F153" s="63"/>
    </row>
    <row r="154" spans="1:6" x14ac:dyDescent="0.3">
      <c r="A154" s="64"/>
      <c r="B154" s="61"/>
      <c r="C154" s="67" t="str">
        <f>IF(B154="","",IFERROR(INDEX(Carteira!$B$5:$B$204,MATCH(B154,Carteira!$A$5:$A$204,0)),"Obra não cadastrada"))</f>
        <v/>
      </c>
      <c r="D154" s="62"/>
      <c r="E154" s="62"/>
      <c r="F154" s="63"/>
    </row>
    <row r="155" spans="1:6" x14ac:dyDescent="0.3">
      <c r="A155" s="64"/>
      <c r="B155" s="61"/>
      <c r="C155" s="67" t="str">
        <f>IF(B155="","",IFERROR(INDEX(Carteira!$B$5:$B$204,MATCH(B155,Carteira!$A$5:$A$204,0)),"Obra não cadastrada"))</f>
        <v/>
      </c>
      <c r="D155" s="62"/>
      <c r="E155" s="62"/>
      <c r="F155" s="63"/>
    </row>
    <row r="156" spans="1:6" x14ac:dyDescent="0.3">
      <c r="A156" s="64"/>
      <c r="B156" s="61"/>
      <c r="C156" s="67" t="str">
        <f>IF(B156="","",IFERROR(INDEX(Carteira!$B$5:$B$204,MATCH(B156,Carteira!$A$5:$A$204,0)),"Obra não cadastrada"))</f>
        <v/>
      </c>
      <c r="D156" s="62"/>
      <c r="E156" s="62"/>
      <c r="F156" s="63"/>
    </row>
    <row r="157" spans="1:6" x14ac:dyDescent="0.3">
      <c r="A157" s="64"/>
      <c r="B157" s="61"/>
      <c r="C157" s="67" t="str">
        <f>IF(B157="","",IFERROR(INDEX(Carteira!$B$5:$B$204,MATCH(B157,Carteira!$A$5:$A$204,0)),"Obra não cadastrada"))</f>
        <v/>
      </c>
      <c r="D157" s="62"/>
      <c r="E157" s="62"/>
      <c r="F157" s="63"/>
    </row>
    <row r="158" spans="1:6" x14ac:dyDescent="0.3">
      <c r="A158" s="64"/>
      <c r="B158" s="61"/>
      <c r="C158" s="67" t="str">
        <f>IF(B158="","",IFERROR(INDEX(Carteira!$B$5:$B$204,MATCH(B158,Carteira!$A$5:$A$204,0)),"Obra não cadastrada"))</f>
        <v/>
      </c>
      <c r="D158" s="62"/>
      <c r="E158" s="62"/>
      <c r="F158" s="63"/>
    </row>
    <row r="159" spans="1:6" x14ac:dyDescent="0.3">
      <c r="A159" s="64"/>
      <c r="B159" s="61"/>
      <c r="C159" s="67" t="str">
        <f>IF(B159="","",IFERROR(INDEX(Carteira!$B$5:$B$204,MATCH(B159,Carteira!$A$5:$A$204,0)),"Obra não cadastrada"))</f>
        <v/>
      </c>
      <c r="D159" s="62"/>
      <c r="E159" s="62"/>
      <c r="F159" s="63"/>
    </row>
    <row r="160" spans="1:6" x14ac:dyDescent="0.3">
      <c r="A160" s="64"/>
      <c r="B160" s="61"/>
      <c r="C160" s="67" t="str">
        <f>IF(B160="","",IFERROR(INDEX(Carteira!$B$5:$B$204,MATCH(B160,Carteira!$A$5:$A$204,0)),"Obra não cadastrada"))</f>
        <v/>
      </c>
      <c r="D160" s="62"/>
      <c r="E160" s="62"/>
      <c r="F160" s="63"/>
    </row>
    <row r="161" spans="1:6" x14ac:dyDescent="0.3">
      <c r="A161" s="64"/>
      <c r="B161" s="61"/>
      <c r="C161" s="67" t="str">
        <f>IF(B161="","",IFERROR(INDEX(Carteira!$B$5:$B$204,MATCH(B161,Carteira!$A$5:$A$204,0)),"Obra não cadastrada"))</f>
        <v/>
      </c>
      <c r="D161" s="62"/>
      <c r="E161" s="62"/>
      <c r="F161" s="63"/>
    </row>
    <row r="162" spans="1:6" x14ac:dyDescent="0.3">
      <c r="A162" s="64"/>
      <c r="B162" s="61"/>
      <c r="C162" s="67" t="str">
        <f>IF(B162="","",IFERROR(INDEX(Carteira!$B$5:$B$204,MATCH(B162,Carteira!$A$5:$A$204,0)),"Obra não cadastrada"))</f>
        <v/>
      </c>
      <c r="D162" s="62"/>
      <c r="E162" s="62"/>
      <c r="F162" s="63"/>
    </row>
    <row r="163" spans="1:6" x14ac:dyDescent="0.3">
      <c r="A163" s="64"/>
      <c r="B163" s="61"/>
      <c r="C163" s="67" t="str">
        <f>IF(B163="","",IFERROR(INDEX(Carteira!$B$5:$B$204,MATCH(B163,Carteira!$A$5:$A$204,0)),"Obra não cadastrada"))</f>
        <v/>
      </c>
      <c r="D163" s="62"/>
      <c r="E163" s="62"/>
      <c r="F163" s="63"/>
    </row>
    <row r="164" spans="1:6" x14ac:dyDescent="0.3">
      <c r="A164" s="64"/>
      <c r="B164" s="61"/>
      <c r="C164" s="67" t="str">
        <f>IF(B164="","",IFERROR(INDEX(Carteira!$B$5:$B$204,MATCH(B164,Carteira!$A$5:$A$204,0)),"Obra não cadastrada"))</f>
        <v/>
      </c>
      <c r="D164" s="62"/>
      <c r="E164" s="62"/>
      <c r="F164" s="63"/>
    </row>
    <row r="165" spans="1:6" x14ac:dyDescent="0.3">
      <c r="A165" s="64"/>
      <c r="B165" s="61"/>
      <c r="C165" s="67" t="str">
        <f>IF(B165="","",IFERROR(INDEX(Carteira!$B$5:$B$204,MATCH(B165,Carteira!$A$5:$A$204,0)),"Obra não cadastrada"))</f>
        <v/>
      </c>
      <c r="D165" s="62"/>
      <c r="E165" s="62"/>
      <c r="F165" s="63"/>
    </row>
    <row r="166" spans="1:6" x14ac:dyDescent="0.3">
      <c r="A166" s="64"/>
      <c r="B166" s="61"/>
      <c r="C166" s="67" t="str">
        <f>IF(B166="","",IFERROR(INDEX(Carteira!$B$5:$B$204,MATCH(B166,Carteira!$A$5:$A$204,0)),"Obra não cadastrada"))</f>
        <v/>
      </c>
      <c r="D166" s="62"/>
      <c r="E166" s="62"/>
      <c r="F166" s="63"/>
    </row>
    <row r="167" spans="1:6" x14ac:dyDescent="0.3">
      <c r="A167" s="64"/>
      <c r="B167" s="61"/>
      <c r="C167" s="67" t="str">
        <f>IF(B167="","",IFERROR(INDEX(Carteira!$B$5:$B$204,MATCH(B167,Carteira!$A$5:$A$204,0)),"Obra não cadastrada"))</f>
        <v/>
      </c>
      <c r="D167" s="62"/>
      <c r="E167" s="62"/>
      <c r="F167" s="63"/>
    </row>
    <row r="168" spans="1:6" x14ac:dyDescent="0.3">
      <c r="A168" s="64"/>
      <c r="B168" s="61"/>
      <c r="C168" s="67" t="str">
        <f>IF(B168="","",IFERROR(INDEX(Carteira!$B$5:$B$204,MATCH(B168,Carteira!$A$5:$A$204,0)),"Obra não cadastrada"))</f>
        <v/>
      </c>
      <c r="D168" s="62"/>
      <c r="E168" s="62"/>
      <c r="F168" s="63"/>
    </row>
    <row r="169" spans="1:6" x14ac:dyDescent="0.3">
      <c r="A169" s="64"/>
      <c r="B169" s="61"/>
      <c r="C169" s="67" t="str">
        <f>IF(B169="","",IFERROR(INDEX(Carteira!$B$5:$B$204,MATCH(B169,Carteira!$A$5:$A$204,0)),"Obra não cadastrada"))</f>
        <v/>
      </c>
      <c r="D169" s="62"/>
      <c r="E169" s="62"/>
      <c r="F169" s="63"/>
    </row>
    <row r="170" spans="1:6" x14ac:dyDescent="0.3">
      <c r="A170" s="64"/>
      <c r="B170" s="61"/>
      <c r="C170" s="67" t="str">
        <f>IF(B170="","",IFERROR(INDEX(Carteira!$B$5:$B$204,MATCH(B170,Carteira!$A$5:$A$204,0)),"Obra não cadastrada"))</f>
        <v/>
      </c>
      <c r="D170" s="62"/>
      <c r="E170" s="62"/>
      <c r="F170" s="63"/>
    </row>
    <row r="171" spans="1:6" x14ac:dyDescent="0.3">
      <c r="A171" s="64"/>
      <c r="B171" s="61"/>
      <c r="C171" s="67" t="str">
        <f>IF(B171="","",IFERROR(INDEX(Carteira!$B$5:$B$204,MATCH(B171,Carteira!$A$5:$A$204,0)),"Obra não cadastrada"))</f>
        <v/>
      </c>
      <c r="D171" s="62"/>
      <c r="E171" s="62"/>
      <c r="F171" s="63"/>
    </row>
    <row r="172" spans="1:6" x14ac:dyDescent="0.3">
      <c r="A172" s="64"/>
      <c r="B172" s="61"/>
      <c r="C172" s="67" t="str">
        <f>IF(B172="","",IFERROR(INDEX(Carteira!$B$5:$B$204,MATCH(B172,Carteira!$A$5:$A$204,0)),"Obra não cadastrada"))</f>
        <v/>
      </c>
      <c r="D172" s="62"/>
      <c r="E172" s="62"/>
      <c r="F172" s="63"/>
    </row>
    <row r="173" spans="1:6" x14ac:dyDescent="0.3">
      <c r="A173" s="64"/>
      <c r="B173" s="61"/>
      <c r="C173" s="67" t="str">
        <f>IF(B173="","",IFERROR(INDEX(Carteira!$B$5:$B$204,MATCH(B173,Carteira!$A$5:$A$204,0)),"Obra não cadastrada"))</f>
        <v/>
      </c>
      <c r="D173" s="62"/>
      <c r="E173" s="62"/>
      <c r="F173" s="63"/>
    </row>
    <row r="174" spans="1:6" x14ac:dyDescent="0.3">
      <c r="A174" s="64"/>
      <c r="B174" s="61"/>
      <c r="C174" s="67" t="str">
        <f>IF(B174="","",IFERROR(INDEX(Carteira!$B$5:$B$204,MATCH(B174,Carteira!$A$5:$A$204,0)),"Obra não cadastrada"))</f>
        <v/>
      </c>
      <c r="D174" s="62"/>
      <c r="E174" s="62"/>
      <c r="F174" s="63"/>
    </row>
    <row r="175" spans="1:6" x14ac:dyDescent="0.3">
      <c r="A175" s="64"/>
      <c r="B175" s="61"/>
      <c r="C175" s="67" t="str">
        <f>IF(B175="","",IFERROR(INDEX(Carteira!$B$5:$B$204,MATCH(B175,Carteira!$A$5:$A$204,0)),"Obra não cadastrada"))</f>
        <v/>
      </c>
      <c r="D175" s="62"/>
      <c r="E175" s="62"/>
      <c r="F175" s="63"/>
    </row>
    <row r="176" spans="1:6" x14ac:dyDescent="0.3">
      <c r="A176" s="64"/>
      <c r="B176" s="61"/>
      <c r="C176" s="67" t="str">
        <f>IF(B176="","",IFERROR(INDEX(Carteira!$B$5:$B$204,MATCH(B176,Carteira!$A$5:$A$204,0)),"Obra não cadastrada"))</f>
        <v/>
      </c>
      <c r="D176" s="62"/>
      <c r="E176" s="62"/>
      <c r="F176" s="63"/>
    </row>
    <row r="177" spans="1:6" x14ac:dyDescent="0.3">
      <c r="A177" s="64"/>
      <c r="B177" s="61"/>
      <c r="C177" s="67" t="str">
        <f>IF(B177="","",IFERROR(INDEX(Carteira!$B$5:$B$204,MATCH(B177,Carteira!$A$5:$A$204,0)),"Obra não cadastrada"))</f>
        <v/>
      </c>
      <c r="D177" s="62"/>
      <c r="E177" s="62"/>
      <c r="F177" s="63"/>
    </row>
    <row r="178" spans="1:6" x14ac:dyDescent="0.3">
      <c r="A178" s="64"/>
      <c r="B178" s="61"/>
      <c r="C178" s="67" t="str">
        <f>IF(B178="","",IFERROR(INDEX(Carteira!$B$5:$B$204,MATCH(B178,Carteira!$A$5:$A$204,0)),"Obra não cadastrada"))</f>
        <v/>
      </c>
      <c r="D178" s="62"/>
      <c r="E178" s="62"/>
      <c r="F178" s="63"/>
    </row>
    <row r="179" spans="1:6" x14ac:dyDescent="0.3">
      <c r="A179" s="64"/>
      <c r="B179" s="61"/>
      <c r="C179" s="67" t="str">
        <f>IF(B179="","",IFERROR(INDEX(Carteira!$B$5:$B$204,MATCH(B179,Carteira!$A$5:$A$204,0)),"Obra não cadastrada"))</f>
        <v/>
      </c>
      <c r="D179" s="62"/>
      <c r="E179" s="62"/>
      <c r="F179" s="63"/>
    </row>
    <row r="180" spans="1:6" x14ac:dyDescent="0.3">
      <c r="A180" s="64"/>
      <c r="B180" s="61"/>
      <c r="C180" s="67" t="str">
        <f>IF(B180="","",IFERROR(INDEX(Carteira!$B$5:$B$204,MATCH(B180,Carteira!$A$5:$A$204,0)),"Obra não cadastrada"))</f>
        <v/>
      </c>
      <c r="D180" s="62"/>
      <c r="E180" s="62"/>
      <c r="F180" s="63"/>
    </row>
    <row r="181" spans="1:6" x14ac:dyDescent="0.3">
      <c r="A181" s="64"/>
      <c r="B181" s="61"/>
      <c r="C181" s="67" t="str">
        <f>IF(B181="","",IFERROR(INDEX(Carteira!$B$5:$B$204,MATCH(B181,Carteira!$A$5:$A$204,0)),"Obra não cadastrada"))</f>
        <v/>
      </c>
      <c r="D181" s="62"/>
      <c r="E181" s="62"/>
      <c r="F181" s="63"/>
    </row>
    <row r="182" spans="1:6" x14ac:dyDescent="0.3">
      <c r="A182" s="64"/>
      <c r="B182" s="61"/>
      <c r="C182" s="67" t="str">
        <f>IF(B182="","",IFERROR(INDEX(Carteira!$B$5:$B$204,MATCH(B182,Carteira!$A$5:$A$204,0)),"Obra não cadastrada"))</f>
        <v/>
      </c>
      <c r="D182" s="62"/>
      <c r="E182" s="62"/>
      <c r="F182" s="63"/>
    </row>
    <row r="183" spans="1:6" x14ac:dyDescent="0.3">
      <c r="A183" s="64"/>
      <c r="B183" s="61"/>
      <c r="C183" s="67" t="str">
        <f>IF(B183="","",IFERROR(INDEX(Carteira!$B$5:$B$204,MATCH(B183,Carteira!$A$5:$A$204,0)),"Obra não cadastrada"))</f>
        <v/>
      </c>
      <c r="D183" s="62"/>
      <c r="E183" s="62"/>
      <c r="F183" s="63"/>
    </row>
    <row r="184" spans="1:6" x14ac:dyDescent="0.3">
      <c r="A184" s="64"/>
      <c r="B184" s="61"/>
      <c r="C184" s="67" t="str">
        <f>IF(B184="","",IFERROR(INDEX(Carteira!$B$5:$B$204,MATCH(B184,Carteira!$A$5:$A$204,0)),"Obra não cadastrada"))</f>
        <v/>
      </c>
      <c r="D184" s="62"/>
      <c r="E184" s="62"/>
      <c r="F184" s="63"/>
    </row>
    <row r="185" spans="1:6" x14ac:dyDescent="0.3">
      <c r="A185" s="64"/>
      <c r="B185" s="61"/>
      <c r="C185" s="67" t="str">
        <f>IF(B185="","",IFERROR(INDEX(Carteira!$B$5:$B$204,MATCH(B185,Carteira!$A$5:$A$204,0)),"Obra não cadastrada"))</f>
        <v/>
      </c>
      <c r="D185" s="62"/>
      <c r="E185" s="62"/>
      <c r="F185" s="63"/>
    </row>
    <row r="186" spans="1:6" x14ac:dyDescent="0.3">
      <c r="A186" s="64"/>
      <c r="B186" s="61"/>
      <c r="C186" s="67" t="str">
        <f>IF(B186="","",IFERROR(INDEX(Carteira!$B$5:$B$204,MATCH(B186,Carteira!$A$5:$A$204,0)),"Obra não cadastrada"))</f>
        <v/>
      </c>
      <c r="D186" s="62"/>
      <c r="E186" s="62"/>
      <c r="F186" s="63"/>
    </row>
    <row r="187" spans="1:6" x14ac:dyDescent="0.3">
      <c r="A187" s="64"/>
      <c r="B187" s="61"/>
      <c r="C187" s="67" t="str">
        <f>IF(B187="","",IFERROR(INDEX(Carteira!$B$5:$B$204,MATCH(B187,Carteira!$A$5:$A$204,0)),"Obra não cadastrada"))</f>
        <v/>
      </c>
      <c r="D187" s="62"/>
      <c r="E187" s="62"/>
      <c r="F187" s="63"/>
    </row>
    <row r="188" spans="1:6" x14ac:dyDescent="0.3">
      <c r="A188" s="64"/>
      <c r="B188" s="61"/>
      <c r="C188" s="67" t="str">
        <f>IF(B188="","",IFERROR(INDEX(Carteira!$B$5:$B$204,MATCH(B188,Carteira!$A$5:$A$204,0)),"Obra não cadastrada"))</f>
        <v/>
      </c>
      <c r="D188" s="62"/>
      <c r="E188" s="62"/>
      <c r="F188" s="63"/>
    </row>
    <row r="189" spans="1:6" x14ac:dyDescent="0.3">
      <c r="A189" s="64"/>
      <c r="B189" s="61"/>
      <c r="C189" s="67" t="str">
        <f>IF(B189="","",IFERROR(INDEX(Carteira!$B$5:$B$204,MATCH(B189,Carteira!$A$5:$A$204,0)),"Obra não cadastrada"))</f>
        <v/>
      </c>
      <c r="D189" s="62"/>
      <c r="E189" s="62"/>
      <c r="F189" s="63"/>
    </row>
    <row r="190" spans="1:6" x14ac:dyDescent="0.3">
      <c r="A190" s="64"/>
      <c r="B190" s="61"/>
      <c r="C190" s="67" t="str">
        <f>IF(B190="","",IFERROR(INDEX(Carteira!$B$5:$B$204,MATCH(B190,Carteira!$A$5:$A$204,0)),"Obra não cadastrada"))</f>
        <v/>
      </c>
      <c r="D190" s="62"/>
      <c r="E190" s="62"/>
      <c r="F190" s="63"/>
    </row>
    <row r="191" spans="1:6" x14ac:dyDescent="0.3">
      <c r="A191" s="64"/>
      <c r="B191" s="61"/>
      <c r="C191" s="67" t="str">
        <f>IF(B191="","",IFERROR(INDEX(Carteira!$B$5:$B$204,MATCH(B191,Carteira!$A$5:$A$204,0)),"Obra não cadastrada"))</f>
        <v/>
      </c>
      <c r="D191" s="62"/>
      <c r="E191" s="62"/>
      <c r="F191" s="63"/>
    </row>
    <row r="192" spans="1:6" x14ac:dyDescent="0.3">
      <c r="A192" s="64"/>
      <c r="B192" s="61"/>
      <c r="C192" s="67" t="str">
        <f>IF(B192="","",IFERROR(INDEX(Carteira!$B$5:$B$204,MATCH(B192,Carteira!$A$5:$A$204,0)),"Obra não cadastrada"))</f>
        <v/>
      </c>
      <c r="D192" s="62"/>
      <c r="E192" s="62"/>
      <c r="F192" s="63"/>
    </row>
    <row r="193" spans="1:6" x14ac:dyDescent="0.3">
      <c r="A193" s="64"/>
      <c r="B193" s="61"/>
      <c r="C193" s="67" t="str">
        <f>IF(B193="","",IFERROR(INDEX(Carteira!$B$5:$B$204,MATCH(B193,Carteira!$A$5:$A$204,0)),"Obra não cadastrada"))</f>
        <v/>
      </c>
      <c r="D193" s="62"/>
      <c r="E193" s="62"/>
      <c r="F193" s="63"/>
    </row>
    <row r="194" spans="1:6" x14ac:dyDescent="0.3">
      <c r="A194" s="64"/>
      <c r="B194" s="61"/>
      <c r="C194" s="67" t="str">
        <f>IF(B194="","",IFERROR(INDEX(Carteira!$B$5:$B$204,MATCH(B194,Carteira!$A$5:$A$204,0)),"Obra não cadastrada"))</f>
        <v/>
      </c>
      <c r="D194" s="62"/>
      <c r="E194" s="62"/>
      <c r="F194" s="63"/>
    </row>
    <row r="195" spans="1:6" x14ac:dyDescent="0.3">
      <c r="A195" s="64"/>
      <c r="B195" s="61"/>
      <c r="C195" s="67" t="str">
        <f>IF(B195="","",IFERROR(INDEX(Carteira!$B$5:$B$204,MATCH(B195,Carteira!$A$5:$A$204,0)),"Obra não cadastrada"))</f>
        <v/>
      </c>
      <c r="D195" s="62"/>
      <c r="E195" s="62"/>
      <c r="F195" s="63"/>
    </row>
    <row r="196" spans="1:6" x14ac:dyDescent="0.3">
      <c r="A196" s="64"/>
      <c r="B196" s="61"/>
      <c r="C196" s="67" t="str">
        <f>IF(B196="","",IFERROR(INDEX(Carteira!$B$5:$B$204,MATCH(B196,Carteira!$A$5:$A$204,0)),"Obra não cadastrada"))</f>
        <v/>
      </c>
      <c r="D196" s="62"/>
      <c r="E196" s="62"/>
      <c r="F196" s="63"/>
    </row>
    <row r="197" spans="1:6" x14ac:dyDescent="0.3">
      <c r="A197" s="64"/>
      <c r="B197" s="61"/>
      <c r="C197" s="67" t="str">
        <f>IF(B197="","",IFERROR(INDEX(Carteira!$B$5:$B$204,MATCH(B197,Carteira!$A$5:$A$204,0)),"Obra não cadastrada"))</f>
        <v/>
      </c>
      <c r="D197" s="62"/>
      <c r="E197" s="62"/>
      <c r="F197" s="63"/>
    </row>
    <row r="198" spans="1:6" x14ac:dyDescent="0.3">
      <c r="A198" s="64"/>
      <c r="B198" s="61"/>
      <c r="C198" s="67" t="str">
        <f>IF(B198="","",IFERROR(INDEX(Carteira!$B$5:$B$204,MATCH(B198,Carteira!$A$5:$A$204,0)),"Obra não cadastrada"))</f>
        <v/>
      </c>
      <c r="D198" s="62"/>
      <c r="E198" s="62"/>
      <c r="F198" s="63"/>
    </row>
    <row r="199" spans="1:6" x14ac:dyDescent="0.3">
      <c r="A199" s="64"/>
      <c r="B199" s="61"/>
      <c r="C199" s="67" t="str">
        <f>IF(B199="","",IFERROR(INDEX(Carteira!$B$5:$B$204,MATCH(B199,Carteira!$A$5:$A$204,0)),"Obra não cadastrada"))</f>
        <v/>
      </c>
      <c r="D199" s="62"/>
      <c r="E199" s="62"/>
      <c r="F199" s="63"/>
    </row>
    <row r="200" spans="1:6" x14ac:dyDescent="0.3">
      <c r="A200" s="64"/>
      <c r="B200" s="61"/>
      <c r="C200" s="67" t="str">
        <f>IF(B200="","",IFERROR(INDEX(Carteira!$B$5:$B$204,MATCH(B200,Carteira!$A$5:$A$204,0)),"Obra não cadastrada"))</f>
        <v/>
      </c>
      <c r="D200" s="62"/>
      <c r="E200" s="62"/>
      <c r="F200" s="63"/>
    </row>
    <row r="201" spans="1:6" x14ac:dyDescent="0.3">
      <c r="A201" s="64"/>
      <c r="B201" s="61"/>
      <c r="C201" s="67" t="str">
        <f>IF(B201="","",IFERROR(INDEX(Carteira!$B$5:$B$204,MATCH(B201,Carteira!$A$5:$A$204,0)),"Obra não cadastrada"))</f>
        <v/>
      </c>
      <c r="D201" s="62"/>
      <c r="E201" s="62"/>
      <c r="F201" s="63"/>
    </row>
    <row r="202" spans="1:6" x14ac:dyDescent="0.3">
      <c r="A202" s="64"/>
      <c r="B202" s="61"/>
      <c r="C202" s="67" t="str">
        <f>IF(B202="","",IFERROR(INDEX(Carteira!$B$5:$B$204,MATCH(B202,Carteira!$A$5:$A$204,0)),"Obra não cadastrada"))</f>
        <v/>
      </c>
      <c r="D202" s="62"/>
      <c r="E202" s="62"/>
      <c r="F202" s="63"/>
    </row>
    <row r="203" spans="1:6" x14ac:dyDescent="0.3">
      <c r="A203" s="64"/>
      <c r="B203" s="61"/>
      <c r="C203" s="67" t="str">
        <f>IF(B203="","",IFERROR(INDEX(Carteira!$B$5:$B$204,MATCH(B203,Carteira!$A$5:$A$204,0)),"Obra não cadastrada"))</f>
        <v/>
      </c>
      <c r="D203" s="62"/>
      <c r="E203" s="62"/>
      <c r="F203" s="63"/>
    </row>
    <row r="204" spans="1:6" x14ac:dyDescent="0.3">
      <c r="A204" s="64"/>
      <c r="B204" s="61"/>
      <c r="C204" s="67" t="str">
        <f>IF(B204="","",IFERROR(INDEX(Carteira!$B$5:$B$204,MATCH(B204,Carteira!$A$5:$A$204,0)),"Obra não cadastrada"))</f>
        <v/>
      </c>
      <c r="D204" s="62"/>
      <c r="E204" s="62"/>
      <c r="F204" s="63"/>
    </row>
    <row r="205" spans="1:6" x14ac:dyDescent="0.3">
      <c r="A205" s="64"/>
      <c r="B205" s="61"/>
      <c r="C205" s="67" t="str">
        <f>IF(B205="","",IFERROR(INDEX(Carteira!$B$5:$B$204,MATCH(B205,Carteira!$A$5:$A$204,0)),"Obra não cadastrada"))</f>
        <v/>
      </c>
      <c r="D205" s="62"/>
      <c r="E205" s="62"/>
      <c r="F205" s="63"/>
    </row>
    <row r="206" spans="1:6" x14ac:dyDescent="0.3">
      <c r="A206" s="64"/>
      <c r="B206" s="61"/>
      <c r="C206" s="67" t="str">
        <f>IF(B206="","",IFERROR(INDEX(Carteira!$B$5:$B$204,MATCH(B206,Carteira!$A$5:$A$204,0)),"Obra não cadastrada"))</f>
        <v/>
      </c>
      <c r="D206" s="62"/>
      <c r="E206" s="62"/>
      <c r="F206" s="63"/>
    </row>
    <row r="207" spans="1:6" x14ac:dyDescent="0.3">
      <c r="A207" s="64"/>
      <c r="B207" s="61"/>
      <c r="C207" s="67" t="str">
        <f>IF(B207="","",IFERROR(INDEX(Carteira!$B$5:$B$204,MATCH(B207,Carteira!$A$5:$A$204,0)),"Obra não cadastrada"))</f>
        <v/>
      </c>
      <c r="D207" s="62"/>
      <c r="E207" s="62"/>
      <c r="F207" s="63"/>
    </row>
    <row r="208" spans="1:6" x14ac:dyDescent="0.3">
      <c r="A208" s="64"/>
      <c r="B208" s="61"/>
      <c r="C208" s="67" t="str">
        <f>IF(B208="","",IFERROR(INDEX(Carteira!$B$5:$B$204,MATCH(B208,Carteira!$A$5:$A$204,0)),"Obra não cadastrada"))</f>
        <v/>
      </c>
      <c r="D208" s="62"/>
      <c r="E208" s="62"/>
      <c r="F208" s="63"/>
    </row>
    <row r="209" spans="1:6" x14ac:dyDescent="0.3">
      <c r="A209" s="64"/>
      <c r="B209" s="61"/>
      <c r="C209" s="67" t="str">
        <f>IF(B209="","",IFERROR(INDEX(Carteira!$B$5:$B$204,MATCH(B209,Carteira!$A$5:$A$204,0)),"Obra não cadastrada"))</f>
        <v/>
      </c>
      <c r="D209" s="62"/>
      <c r="E209" s="62"/>
      <c r="F209" s="63"/>
    </row>
    <row r="210" spans="1:6" x14ac:dyDescent="0.3">
      <c r="A210" s="64"/>
      <c r="B210" s="61"/>
      <c r="C210" s="67" t="str">
        <f>IF(B210="","",IFERROR(INDEX(Carteira!$B$5:$B$204,MATCH(B210,Carteira!$A$5:$A$204,0)),"Obra não cadastrada"))</f>
        <v/>
      </c>
      <c r="D210" s="62"/>
      <c r="E210" s="62"/>
      <c r="F210" s="63"/>
    </row>
    <row r="211" spans="1:6" x14ac:dyDescent="0.3">
      <c r="A211" s="64"/>
      <c r="B211" s="61"/>
      <c r="C211" s="67" t="str">
        <f>IF(B211="","",IFERROR(INDEX(Carteira!$B$5:$B$204,MATCH(B211,Carteira!$A$5:$A$204,0)),"Obra não cadastrada"))</f>
        <v/>
      </c>
      <c r="D211" s="62"/>
      <c r="E211" s="62"/>
      <c r="F211" s="63"/>
    </row>
    <row r="212" spans="1:6" x14ac:dyDescent="0.3">
      <c r="A212" s="64"/>
      <c r="B212" s="61"/>
      <c r="C212" s="67" t="str">
        <f>IF(B212="","",IFERROR(INDEX(Carteira!$B$5:$B$204,MATCH(B212,Carteira!$A$5:$A$204,0)),"Obra não cadastrada"))</f>
        <v/>
      </c>
      <c r="D212" s="62"/>
      <c r="E212" s="62"/>
      <c r="F212" s="63"/>
    </row>
    <row r="213" spans="1:6" x14ac:dyDescent="0.3">
      <c r="A213" s="64"/>
      <c r="B213" s="61"/>
      <c r="C213" s="67" t="str">
        <f>IF(B213="","",IFERROR(INDEX(Carteira!$B$5:$B$204,MATCH(B213,Carteira!$A$5:$A$204,0)),"Obra não cadastrada"))</f>
        <v/>
      </c>
      <c r="D213" s="62"/>
      <c r="E213" s="62"/>
      <c r="F213" s="63"/>
    </row>
    <row r="214" spans="1:6" x14ac:dyDescent="0.3">
      <c r="A214" s="64"/>
      <c r="B214" s="61"/>
      <c r="C214" s="67" t="str">
        <f>IF(B214="","",IFERROR(INDEX(Carteira!$B$5:$B$204,MATCH(B214,Carteira!$A$5:$A$204,0)),"Obra não cadastrada"))</f>
        <v/>
      </c>
      <c r="D214" s="62"/>
      <c r="E214" s="62"/>
      <c r="F214" s="63"/>
    </row>
    <row r="215" spans="1:6" x14ac:dyDescent="0.3">
      <c r="A215" s="64"/>
      <c r="B215" s="61"/>
      <c r="C215" s="67" t="str">
        <f>IF(B215="","",IFERROR(INDEX(Carteira!$B$5:$B$204,MATCH(B215,Carteira!$A$5:$A$204,0)),"Obra não cadastrada"))</f>
        <v/>
      </c>
      <c r="D215" s="62"/>
      <c r="E215" s="62"/>
      <c r="F215" s="63"/>
    </row>
    <row r="216" spans="1:6" x14ac:dyDescent="0.3">
      <c r="A216" s="64"/>
      <c r="B216" s="61"/>
      <c r="C216" s="67" t="str">
        <f>IF(B216="","",IFERROR(INDEX(Carteira!$B$5:$B$204,MATCH(B216,Carteira!$A$5:$A$204,0)),"Obra não cadastrada"))</f>
        <v/>
      </c>
      <c r="D216" s="62"/>
      <c r="E216" s="62"/>
      <c r="F216" s="63"/>
    </row>
    <row r="217" spans="1:6" x14ac:dyDescent="0.3">
      <c r="A217" s="64"/>
      <c r="B217" s="61"/>
      <c r="C217" s="67" t="str">
        <f>IF(B217="","",IFERROR(INDEX(Carteira!$B$5:$B$204,MATCH(B217,Carteira!$A$5:$A$204,0)),"Obra não cadastrada"))</f>
        <v/>
      </c>
      <c r="D217" s="62"/>
      <c r="E217" s="62"/>
      <c r="F217" s="63"/>
    </row>
    <row r="218" spans="1:6" x14ac:dyDescent="0.3">
      <c r="A218" s="64"/>
      <c r="B218" s="61"/>
      <c r="C218" s="67" t="str">
        <f>IF(B218="","",IFERROR(INDEX(Carteira!$B$5:$B$204,MATCH(B218,Carteira!$A$5:$A$204,0)),"Obra não cadastrada"))</f>
        <v/>
      </c>
      <c r="D218" s="62"/>
      <c r="E218" s="62"/>
      <c r="F218" s="63"/>
    </row>
    <row r="219" spans="1:6" x14ac:dyDescent="0.3">
      <c r="A219" s="64"/>
      <c r="B219" s="61"/>
      <c r="C219" s="67" t="str">
        <f>IF(B219="","",IFERROR(INDEX(Carteira!$B$5:$B$204,MATCH(B219,Carteira!$A$5:$A$204,0)),"Obra não cadastrada"))</f>
        <v/>
      </c>
      <c r="D219" s="62"/>
      <c r="E219" s="62"/>
      <c r="F219" s="63"/>
    </row>
    <row r="220" spans="1:6" x14ac:dyDescent="0.3">
      <c r="A220" s="64"/>
      <c r="B220" s="61"/>
      <c r="C220" s="67" t="str">
        <f>IF(B220="","",IFERROR(INDEX(Carteira!$B$5:$B$204,MATCH(B220,Carteira!$A$5:$A$204,0)),"Obra não cadastrada"))</f>
        <v/>
      </c>
      <c r="D220" s="62"/>
      <c r="E220" s="62"/>
      <c r="F220" s="63"/>
    </row>
    <row r="221" spans="1:6" x14ac:dyDescent="0.3">
      <c r="A221" s="64"/>
      <c r="B221" s="61"/>
      <c r="C221" s="67" t="str">
        <f>IF(B221="","",IFERROR(INDEX(Carteira!$B$5:$B$204,MATCH(B221,Carteira!$A$5:$A$204,0)),"Obra não cadastrada"))</f>
        <v/>
      </c>
      <c r="D221" s="62"/>
      <c r="E221" s="62"/>
      <c r="F221" s="63"/>
    </row>
    <row r="222" spans="1:6" x14ac:dyDescent="0.3">
      <c r="A222" s="64"/>
      <c r="B222" s="61"/>
      <c r="C222" s="67" t="str">
        <f>IF(B222="","",IFERROR(INDEX(Carteira!$B$5:$B$204,MATCH(B222,Carteira!$A$5:$A$204,0)),"Obra não cadastrada"))</f>
        <v/>
      </c>
      <c r="D222" s="62"/>
      <c r="E222" s="62"/>
      <c r="F222" s="63"/>
    </row>
    <row r="223" spans="1:6" x14ac:dyDescent="0.3">
      <c r="A223" s="64"/>
      <c r="B223" s="61"/>
      <c r="C223" s="67" t="str">
        <f>IF(B223="","",IFERROR(INDEX(Carteira!$B$5:$B$204,MATCH(B223,Carteira!$A$5:$A$204,0)),"Obra não cadastrada"))</f>
        <v/>
      </c>
      <c r="D223" s="62"/>
      <c r="E223" s="62"/>
      <c r="F223" s="63"/>
    </row>
    <row r="224" spans="1:6" x14ac:dyDescent="0.3">
      <c r="A224" s="64"/>
      <c r="B224" s="61"/>
      <c r="C224" s="67" t="str">
        <f>IF(B224="","",IFERROR(INDEX(Carteira!$B$5:$B$204,MATCH(B224,Carteira!$A$5:$A$204,0)),"Obra não cadastrada"))</f>
        <v/>
      </c>
      <c r="D224" s="62"/>
      <c r="E224" s="62"/>
      <c r="F224" s="63"/>
    </row>
    <row r="225" spans="1:6" x14ac:dyDescent="0.3">
      <c r="A225" s="64"/>
      <c r="B225" s="61"/>
      <c r="C225" s="67" t="str">
        <f>IF(B225="","",IFERROR(INDEX(Carteira!$B$5:$B$204,MATCH(B225,Carteira!$A$5:$A$204,0)),"Obra não cadastrada"))</f>
        <v/>
      </c>
      <c r="D225" s="62"/>
      <c r="E225" s="62"/>
      <c r="F225" s="63"/>
    </row>
    <row r="226" spans="1:6" x14ac:dyDescent="0.3">
      <c r="A226" s="64"/>
      <c r="B226" s="61"/>
      <c r="C226" s="67" t="str">
        <f>IF(B226="","",IFERROR(INDEX(Carteira!$B$5:$B$204,MATCH(B226,Carteira!$A$5:$A$204,0)),"Obra não cadastrada"))</f>
        <v/>
      </c>
      <c r="D226" s="62"/>
      <c r="E226" s="62"/>
      <c r="F226" s="63"/>
    </row>
    <row r="227" spans="1:6" x14ac:dyDescent="0.3">
      <c r="A227" s="64"/>
      <c r="B227" s="61"/>
      <c r="C227" s="67" t="str">
        <f>IF(B227="","",IFERROR(INDEX(Carteira!$B$5:$B$204,MATCH(B227,Carteira!$A$5:$A$204,0)),"Obra não cadastrada"))</f>
        <v/>
      </c>
      <c r="D227" s="62"/>
      <c r="E227" s="62"/>
      <c r="F227" s="63"/>
    </row>
    <row r="228" spans="1:6" x14ac:dyDescent="0.3">
      <c r="A228" s="64"/>
      <c r="B228" s="61"/>
      <c r="C228" s="67" t="str">
        <f>IF(B228="","",IFERROR(INDEX(Carteira!$B$5:$B$204,MATCH(B228,Carteira!$A$5:$A$204,0)),"Obra não cadastrada"))</f>
        <v/>
      </c>
      <c r="D228" s="62"/>
      <c r="E228" s="62"/>
      <c r="F228" s="63"/>
    </row>
    <row r="229" spans="1:6" x14ac:dyDescent="0.3">
      <c r="A229" s="64"/>
      <c r="B229" s="61"/>
      <c r="C229" s="67" t="str">
        <f>IF(B229="","",IFERROR(INDEX(Carteira!$B$5:$B$204,MATCH(B229,Carteira!$A$5:$A$204,0)),"Obra não cadastrada"))</f>
        <v/>
      </c>
      <c r="D229" s="62"/>
      <c r="E229" s="62"/>
      <c r="F229" s="63"/>
    </row>
    <row r="230" spans="1:6" x14ac:dyDescent="0.3">
      <c r="A230" s="64"/>
      <c r="B230" s="61"/>
      <c r="C230" s="67" t="str">
        <f>IF(B230="","",IFERROR(INDEX(Carteira!$B$5:$B$204,MATCH(B230,Carteira!$A$5:$A$204,0)),"Obra não cadastrada"))</f>
        <v/>
      </c>
      <c r="D230" s="62"/>
      <c r="E230" s="62"/>
      <c r="F230" s="63"/>
    </row>
    <row r="231" spans="1:6" x14ac:dyDescent="0.3">
      <c r="A231" s="64"/>
      <c r="B231" s="61"/>
      <c r="C231" s="67" t="str">
        <f>IF(B231="","",IFERROR(INDEX(Carteira!$B$5:$B$204,MATCH(B231,Carteira!$A$5:$A$204,0)),"Obra não cadastrada"))</f>
        <v/>
      </c>
      <c r="D231" s="62"/>
      <c r="E231" s="62"/>
      <c r="F231" s="63"/>
    </row>
    <row r="232" spans="1:6" x14ac:dyDescent="0.3">
      <c r="A232" s="64"/>
      <c r="B232" s="61"/>
      <c r="C232" s="67" t="str">
        <f>IF(B232="","",IFERROR(INDEX(Carteira!$B$5:$B$204,MATCH(B232,Carteira!$A$5:$A$204,0)),"Obra não cadastrada"))</f>
        <v/>
      </c>
      <c r="D232" s="62"/>
      <c r="E232" s="62"/>
      <c r="F232" s="63"/>
    </row>
    <row r="233" spans="1:6" x14ac:dyDescent="0.3">
      <c r="A233" s="64"/>
      <c r="B233" s="61"/>
      <c r="C233" s="67" t="str">
        <f>IF(B233="","",IFERROR(INDEX(Carteira!$B$5:$B$204,MATCH(B233,Carteira!$A$5:$A$204,0)),"Obra não cadastrada"))</f>
        <v/>
      </c>
      <c r="D233" s="62"/>
      <c r="E233" s="62"/>
      <c r="F233" s="63"/>
    </row>
    <row r="234" spans="1:6" x14ac:dyDescent="0.3">
      <c r="A234" s="64"/>
      <c r="B234" s="61"/>
      <c r="C234" s="67" t="str">
        <f>IF(B234="","",IFERROR(INDEX(Carteira!$B$5:$B$204,MATCH(B234,Carteira!$A$5:$A$204,0)),"Obra não cadastrada"))</f>
        <v/>
      </c>
      <c r="D234" s="62"/>
      <c r="E234" s="62"/>
      <c r="F234" s="63"/>
    </row>
    <row r="235" spans="1:6" x14ac:dyDescent="0.3">
      <c r="A235" s="64"/>
      <c r="B235" s="61"/>
      <c r="C235" s="67" t="str">
        <f>IF(B235="","",IFERROR(INDEX(Carteira!$B$5:$B$204,MATCH(B235,Carteira!$A$5:$A$204,0)),"Obra não cadastrada"))</f>
        <v/>
      </c>
      <c r="D235" s="62"/>
      <c r="E235" s="62"/>
      <c r="F235" s="63"/>
    </row>
    <row r="236" spans="1:6" x14ac:dyDescent="0.3">
      <c r="A236" s="64"/>
      <c r="B236" s="61"/>
      <c r="C236" s="67" t="str">
        <f>IF(B236="","",IFERROR(INDEX(Carteira!$B$5:$B$204,MATCH(B236,Carteira!$A$5:$A$204,0)),"Obra não cadastrada"))</f>
        <v/>
      </c>
      <c r="D236" s="62"/>
      <c r="E236" s="62"/>
      <c r="F236" s="63"/>
    </row>
    <row r="237" spans="1:6" x14ac:dyDescent="0.3">
      <c r="A237" s="64"/>
      <c r="B237" s="61"/>
      <c r="C237" s="67" t="str">
        <f>IF(B237="","",IFERROR(INDEX(Carteira!$B$5:$B$204,MATCH(B237,Carteira!$A$5:$A$204,0)),"Obra não cadastrada"))</f>
        <v/>
      </c>
      <c r="D237" s="62"/>
      <c r="E237" s="62"/>
      <c r="F237" s="63"/>
    </row>
    <row r="238" spans="1:6" x14ac:dyDescent="0.3">
      <c r="A238" s="64"/>
      <c r="B238" s="61"/>
      <c r="C238" s="67" t="str">
        <f>IF(B238="","",IFERROR(INDEX(Carteira!$B$5:$B$204,MATCH(B238,Carteira!$A$5:$A$204,0)),"Obra não cadastrada"))</f>
        <v/>
      </c>
      <c r="D238" s="62"/>
      <c r="E238" s="62"/>
      <c r="F238" s="63"/>
    </row>
    <row r="239" spans="1:6" x14ac:dyDescent="0.3">
      <c r="A239" s="64"/>
      <c r="B239" s="61"/>
      <c r="C239" s="67" t="str">
        <f>IF(B239="","",IFERROR(INDEX(Carteira!$B$5:$B$204,MATCH(B239,Carteira!$A$5:$A$204,0)),"Obra não cadastrada"))</f>
        <v/>
      </c>
      <c r="D239" s="62"/>
      <c r="E239" s="62"/>
      <c r="F239" s="63"/>
    </row>
    <row r="240" spans="1:6" x14ac:dyDescent="0.3">
      <c r="A240" s="64"/>
      <c r="B240" s="61"/>
      <c r="C240" s="67" t="str">
        <f>IF(B240="","",IFERROR(INDEX(Carteira!$B$5:$B$204,MATCH(B240,Carteira!$A$5:$A$204,0)),"Obra não cadastrada"))</f>
        <v/>
      </c>
      <c r="D240" s="62"/>
      <c r="E240" s="62"/>
      <c r="F240" s="63"/>
    </row>
    <row r="241" spans="1:6" x14ac:dyDescent="0.3">
      <c r="A241" s="64"/>
      <c r="B241" s="61"/>
      <c r="C241" s="67" t="str">
        <f>IF(B241="","",IFERROR(INDEX(Carteira!$B$5:$B$204,MATCH(B241,Carteira!$A$5:$A$204,0)),"Obra não cadastrada"))</f>
        <v/>
      </c>
      <c r="D241" s="62"/>
      <c r="E241" s="62"/>
      <c r="F241" s="63"/>
    </row>
    <row r="242" spans="1:6" x14ac:dyDescent="0.3">
      <c r="A242" s="64"/>
      <c r="B242" s="61"/>
      <c r="C242" s="67" t="str">
        <f>IF(B242="","",IFERROR(INDEX(Carteira!$B$5:$B$204,MATCH(B242,Carteira!$A$5:$A$204,0)),"Obra não cadastrada"))</f>
        <v/>
      </c>
      <c r="D242" s="62"/>
      <c r="E242" s="62"/>
      <c r="F242" s="63"/>
    </row>
    <row r="243" spans="1:6" x14ac:dyDescent="0.3">
      <c r="A243" s="64"/>
      <c r="B243" s="61"/>
      <c r="C243" s="67" t="str">
        <f>IF(B243="","",IFERROR(INDEX(Carteira!$B$5:$B$204,MATCH(B243,Carteira!$A$5:$A$204,0)),"Obra não cadastrada"))</f>
        <v/>
      </c>
      <c r="D243" s="62"/>
      <c r="E243" s="62"/>
      <c r="F243" s="63"/>
    </row>
    <row r="244" spans="1:6" x14ac:dyDescent="0.3">
      <c r="A244" s="64"/>
      <c r="B244" s="61"/>
      <c r="C244" s="67" t="str">
        <f>IF(B244="","",IFERROR(INDEX(Carteira!$B$5:$B$204,MATCH(B244,Carteira!$A$5:$A$204,0)),"Obra não cadastrada"))</f>
        <v/>
      </c>
      <c r="D244" s="62"/>
      <c r="E244" s="62"/>
      <c r="F244" s="63"/>
    </row>
    <row r="245" spans="1:6" x14ac:dyDescent="0.3">
      <c r="A245" s="64"/>
      <c r="B245" s="61"/>
      <c r="C245" s="67" t="str">
        <f>IF(B245="","",IFERROR(INDEX(Carteira!$B$5:$B$204,MATCH(B245,Carteira!$A$5:$A$204,0)),"Obra não cadastrada"))</f>
        <v/>
      </c>
      <c r="D245" s="62"/>
      <c r="E245" s="62"/>
      <c r="F245" s="63"/>
    </row>
    <row r="246" spans="1:6" x14ac:dyDescent="0.3">
      <c r="A246" s="64"/>
      <c r="B246" s="61"/>
      <c r="C246" s="67" t="str">
        <f>IF(B246="","",IFERROR(INDEX(Carteira!$B$5:$B$204,MATCH(B246,Carteira!$A$5:$A$204,0)),"Obra não cadastrada"))</f>
        <v/>
      </c>
      <c r="D246" s="62"/>
      <c r="E246" s="62"/>
      <c r="F246" s="63"/>
    </row>
    <row r="247" spans="1:6" x14ac:dyDescent="0.3">
      <c r="A247" s="64"/>
      <c r="B247" s="61"/>
      <c r="C247" s="67" t="str">
        <f>IF(B247="","",IFERROR(INDEX(Carteira!$B$5:$B$204,MATCH(B247,Carteira!$A$5:$A$204,0)),"Obra não cadastrada"))</f>
        <v/>
      </c>
      <c r="D247" s="62"/>
      <c r="E247" s="62"/>
      <c r="F247" s="63"/>
    </row>
    <row r="248" spans="1:6" x14ac:dyDescent="0.3">
      <c r="A248" s="64"/>
      <c r="B248" s="61"/>
      <c r="C248" s="67" t="str">
        <f>IF(B248="","",IFERROR(INDEX(Carteira!$B$5:$B$204,MATCH(B248,Carteira!$A$5:$A$204,0)),"Obra não cadastrada"))</f>
        <v/>
      </c>
      <c r="D248" s="62"/>
      <c r="E248" s="62"/>
      <c r="F248" s="63"/>
    </row>
    <row r="249" spans="1:6" x14ac:dyDescent="0.3">
      <c r="A249" s="64"/>
      <c r="B249" s="61"/>
      <c r="C249" s="67" t="str">
        <f>IF(B249="","",IFERROR(INDEX(Carteira!$B$5:$B$204,MATCH(B249,Carteira!$A$5:$A$204,0)),"Obra não cadastrada"))</f>
        <v/>
      </c>
      <c r="D249" s="62"/>
      <c r="E249" s="62"/>
      <c r="F249" s="63"/>
    </row>
    <row r="250" spans="1:6" x14ac:dyDescent="0.3">
      <c r="A250" s="64"/>
      <c r="B250" s="61"/>
      <c r="C250" s="67" t="str">
        <f>IF(B250="","",IFERROR(INDEX(Carteira!$B$5:$B$204,MATCH(B250,Carteira!$A$5:$A$204,0)),"Obra não cadastrada"))</f>
        <v/>
      </c>
      <c r="D250" s="62"/>
      <c r="E250" s="62"/>
      <c r="F250" s="63"/>
    </row>
    <row r="251" spans="1:6" x14ac:dyDescent="0.3">
      <c r="A251" s="64"/>
      <c r="B251" s="61"/>
      <c r="C251" s="67" t="str">
        <f>IF(B251="","",IFERROR(INDEX(Carteira!$B$5:$B$204,MATCH(B251,Carteira!$A$5:$A$204,0)),"Obra não cadastrada"))</f>
        <v/>
      </c>
      <c r="D251" s="62"/>
      <c r="E251" s="62"/>
      <c r="F251" s="63"/>
    </row>
    <row r="252" spans="1:6" x14ac:dyDescent="0.3">
      <c r="A252" s="64"/>
      <c r="B252" s="61"/>
      <c r="C252" s="67" t="str">
        <f>IF(B252="","",IFERROR(INDEX(Carteira!$B$5:$B$204,MATCH(B252,Carteira!$A$5:$A$204,0)),"Obra não cadastrada"))</f>
        <v/>
      </c>
      <c r="D252" s="62"/>
      <c r="E252" s="62"/>
      <c r="F252" s="63"/>
    </row>
    <row r="253" spans="1:6" x14ac:dyDescent="0.3">
      <c r="A253" s="64"/>
      <c r="B253" s="61"/>
      <c r="C253" s="67" t="str">
        <f>IF(B253="","",IFERROR(INDEX(Carteira!$B$5:$B$204,MATCH(B253,Carteira!$A$5:$A$204,0)),"Obra não cadastrada"))</f>
        <v/>
      </c>
      <c r="D253" s="62"/>
      <c r="E253" s="62"/>
      <c r="F253" s="63"/>
    </row>
    <row r="254" spans="1:6" x14ac:dyDescent="0.3">
      <c r="A254" s="64"/>
      <c r="B254" s="61"/>
      <c r="C254" s="67" t="str">
        <f>IF(B254="","",IFERROR(INDEX(Carteira!$B$5:$B$204,MATCH(B254,Carteira!$A$5:$A$204,0)),"Obra não cadastrada"))</f>
        <v/>
      </c>
      <c r="D254" s="62"/>
      <c r="E254" s="62"/>
      <c r="F254" s="63"/>
    </row>
    <row r="255" spans="1:6" x14ac:dyDescent="0.3">
      <c r="A255" s="64"/>
      <c r="B255" s="61"/>
      <c r="C255" s="67" t="str">
        <f>IF(B255="","",IFERROR(INDEX(Carteira!$B$5:$B$204,MATCH(B255,Carteira!$A$5:$A$204,0)),"Obra não cadastrada"))</f>
        <v/>
      </c>
      <c r="D255" s="62"/>
      <c r="E255" s="62"/>
      <c r="F255" s="63"/>
    </row>
    <row r="256" spans="1:6" x14ac:dyDescent="0.3">
      <c r="A256" s="64"/>
      <c r="B256" s="61"/>
      <c r="C256" s="67" t="str">
        <f>IF(B256="","",IFERROR(INDEX(Carteira!$B$5:$B$204,MATCH(B256,Carteira!$A$5:$A$204,0)),"Obra não cadastrada"))</f>
        <v/>
      </c>
      <c r="D256" s="62"/>
      <c r="E256" s="62"/>
      <c r="F256" s="63"/>
    </row>
    <row r="257" spans="1:6" x14ac:dyDescent="0.3">
      <c r="A257" s="64"/>
      <c r="B257" s="61"/>
      <c r="C257" s="67" t="str">
        <f>IF(B257="","",IFERROR(INDEX(Carteira!$B$5:$B$204,MATCH(B257,Carteira!$A$5:$A$204,0)),"Obra não cadastrada"))</f>
        <v/>
      </c>
      <c r="D257" s="62"/>
      <c r="E257" s="62"/>
      <c r="F257" s="63"/>
    </row>
    <row r="258" spans="1:6" x14ac:dyDescent="0.3">
      <c r="A258" s="64"/>
      <c r="B258" s="61"/>
      <c r="C258" s="67" t="str">
        <f>IF(B258="","",IFERROR(INDEX(Carteira!$B$5:$B$204,MATCH(B258,Carteira!$A$5:$A$204,0)),"Obra não cadastrada"))</f>
        <v/>
      </c>
      <c r="D258" s="62"/>
      <c r="E258" s="62"/>
      <c r="F258" s="63"/>
    </row>
    <row r="259" spans="1:6" x14ac:dyDescent="0.3">
      <c r="A259" s="64"/>
      <c r="B259" s="61"/>
      <c r="C259" s="67" t="str">
        <f>IF(B259="","",IFERROR(INDEX(Carteira!$B$5:$B$204,MATCH(B259,Carteira!$A$5:$A$204,0)),"Obra não cadastrada"))</f>
        <v/>
      </c>
      <c r="D259" s="62"/>
      <c r="E259" s="62"/>
      <c r="F259" s="63"/>
    </row>
    <row r="260" spans="1:6" x14ac:dyDescent="0.3">
      <c r="A260" s="64"/>
      <c r="B260" s="61"/>
      <c r="C260" s="67" t="str">
        <f>IF(B260="","",IFERROR(INDEX(Carteira!$B$5:$B$204,MATCH(B260,Carteira!$A$5:$A$204,0)),"Obra não cadastrada"))</f>
        <v/>
      </c>
      <c r="D260" s="62"/>
      <c r="E260" s="62"/>
      <c r="F260" s="63"/>
    </row>
    <row r="261" spans="1:6" x14ac:dyDescent="0.3">
      <c r="A261" s="64"/>
      <c r="B261" s="61"/>
      <c r="C261" s="67" t="str">
        <f>IF(B261="","",IFERROR(INDEX(Carteira!$B$5:$B$204,MATCH(B261,Carteira!$A$5:$A$204,0)),"Obra não cadastrada"))</f>
        <v/>
      </c>
      <c r="D261" s="62"/>
      <c r="E261" s="62"/>
      <c r="F261" s="63"/>
    </row>
    <row r="262" spans="1:6" x14ac:dyDescent="0.3">
      <c r="A262" s="64"/>
      <c r="B262" s="61"/>
      <c r="C262" s="67" t="str">
        <f>IF(B262="","",IFERROR(INDEX(Carteira!$B$5:$B$204,MATCH(B262,Carteira!$A$5:$A$204,0)),"Obra não cadastrada"))</f>
        <v/>
      </c>
      <c r="D262" s="62"/>
      <c r="E262" s="62"/>
      <c r="F262" s="63"/>
    </row>
    <row r="263" spans="1:6" x14ac:dyDescent="0.3">
      <c r="A263" s="64"/>
      <c r="B263" s="61"/>
      <c r="C263" s="67" t="str">
        <f>IF(B263="","",IFERROR(INDEX(Carteira!$B$5:$B$204,MATCH(B263,Carteira!$A$5:$A$204,0)),"Obra não cadastrada"))</f>
        <v/>
      </c>
      <c r="D263" s="62"/>
      <c r="E263" s="62"/>
      <c r="F263" s="63"/>
    </row>
    <row r="264" spans="1:6" x14ac:dyDescent="0.3">
      <c r="A264" s="64"/>
      <c r="B264" s="61"/>
      <c r="C264" s="67" t="str">
        <f>IF(B264="","",IFERROR(INDEX(Carteira!$B$5:$B$204,MATCH(B264,Carteira!$A$5:$A$204,0)),"Obra não cadastrada"))</f>
        <v/>
      </c>
      <c r="D264" s="62"/>
      <c r="E264" s="62"/>
      <c r="F264" s="63"/>
    </row>
    <row r="265" spans="1:6" x14ac:dyDescent="0.3">
      <c r="A265" s="64"/>
      <c r="B265" s="61"/>
      <c r="C265" s="67" t="str">
        <f>IF(B265="","",IFERROR(INDEX(Carteira!$B$5:$B$204,MATCH(B265,Carteira!$A$5:$A$204,0)),"Obra não cadastrada"))</f>
        <v/>
      </c>
      <c r="D265" s="62"/>
      <c r="E265" s="62"/>
      <c r="F265" s="63"/>
    </row>
    <row r="266" spans="1:6" x14ac:dyDescent="0.3">
      <c r="A266" s="64"/>
      <c r="B266" s="61"/>
      <c r="C266" s="67" t="str">
        <f>IF(B266="","",IFERROR(INDEX(Carteira!$B$5:$B$204,MATCH(B266,Carteira!$A$5:$A$204,0)),"Obra não cadastrada"))</f>
        <v/>
      </c>
      <c r="D266" s="62"/>
      <c r="E266" s="62"/>
      <c r="F266" s="63"/>
    </row>
    <row r="267" spans="1:6" x14ac:dyDescent="0.3">
      <c r="A267" s="64"/>
      <c r="B267" s="61"/>
      <c r="C267" s="67" t="str">
        <f>IF(B267="","",IFERROR(INDEX(Carteira!$B$5:$B$204,MATCH(B267,Carteira!$A$5:$A$204,0)),"Obra não cadastrada"))</f>
        <v/>
      </c>
      <c r="D267" s="62"/>
      <c r="E267" s="62"/>
      <c r="F267" s="63"/>
    </row>
    <row r="268" spans="1:6" x14ac:dyDescent="0.3">
      <c r="A268" s="64"/>
      <c r="B268" s="61"/>
      <c r="C268" s="67" t="str">
        <f>IF(B268="","",IFERROR(INDEX(Carteira!$B$5:$B$204,MATCH(B268,Carteira!$A$5:$A$204,0)),"Obra não cadastrada"))</f>
        <v/>
      </c>
      <c r="D268" s="62"/>
      <c r="E268" s="62"/>
      <c r="F268" s="63"/>
    </row>
    <row r="269" spans="1:6" x14ac:dyDescent="0.3">
      <c r="A269" s="64"/>
      <c r="B269" s="61"/>
      <c r="C269" s="67" t="str">
        <f>IF(B269="","",IFERROR(INDEX(Carteira!$B$5:$B$204,MATCH(B269,Carteira!$A$5:$A$204,0)),"Obra não cadastrada"))</f>
        <v/>
      </c>
      <c r="D269" s="62"/>
      <c r="E269" s="62"/>
      <c r="F269" s="63"/>
    </row>
    <row r="270" spans="1:6" x14ac:dyDescent="0.3">
      <c r="A270" s="64"/>
      <c r="B270" s="61"/>
      <c r="C270" s="67" t="str">
        <f>IF(B270="","",IFERROR(INDEX(Carteira!$B$5:$B$204,MATCH(B270,Carteira!$A$5:$A$204,0)),"Obra não cadastrada"))</f>
        <v/>
      </c>
      <c r="D270" s="62"/>
      <c r="E270" s="62"/>
      <c r="F270" s="63"/>
    </row>
    <row r="271" spans="1:6" x14ac:dyDescent="0.3">
      <c r="A271" s="64"/>
      <c r="B271" s="61"/>
      <c r="C271" s="67" t="str">
        <f>IF(B271="","",IFERROR(INDEX(Carteira!$B$5:$B$204,MATCH(B271,Carteira!$A$5:$A$204,0)),"Obra não cadastrada"))</f>
        <v/>
      </c>
      <c r="D271" s="62"/>
      <c r="E271" s="62"/>
      <c r="F271" s="63"/>
    </row>
    <row r="272" spans="1:6" x14ac:dyDescent="0.3">
      <c r="A272" s="64"/>
      <c r="B272" s="61"/>
      <c r="C272" s="67" t="str">
        <f>IF(B272="","",IFERROR(INDEX(Carteira!$B$5:$B$204,MATCH(B272,Carteira!$A$5:$A$204,0)),"Obra não cadastrada"))</f>
        <v/>
      </c>
      <c r="D272" s="62"/>
      <c r="E272" s="62"/>
      <c r="F272" s="63"/>
    </row>
    <row r="273" spans="1:6" x14ac:dyDescent="0.3">
      <c r="A273" s="64"/>
      <c r="B273" s="61"/>
      <c r="C273" s="67" t="str">
        <f>IF(B273="","",IFERROR(INDEX(Carteira!$B$5:$B$204,MATCH(B273,Carteira!$A$5:$A$204,0)),"Obra não cadastrada"))</f>
        <v/>
      </c>
      <c r="D273" s="62"/>
      <c r="E273" s="62"/>
      <c r="F273" s="63"/>
    </row>
    <row r="274" spans="1:6" x14ac:dyDescent="0.3">
      <c r="A274" s="64"/>
      <c r="B274" s="61"/>
      <c r="C274" s="67" t="str">
        <f>IF(B274="","",IFERROR(INDEX(Carteira!$B$5:$B$204,MATCH(B274,Carteira!$A$5:$A$204,0)),"Obra não cadastrada"))</f>
        <v/>
      </c>
      <c r="D274" s="62"/>
      <c r="E274" s="62"/>
      <c r="F274" s="63"/>
    </row>
    <row r="275" spans="1:6" x14ac:dyDescent="0.3">
      <c r="A275" s="64"/>
      <c r="B275" s="61"/>
      <c r="C275" s="67" t="str">
        <f>IF(B275="","",IFERROR(INDEX(Carteira!$B$5:$B$204,MATCH(B275,Carteira!$A$5:$A$204,0)),"Obra não cadastrada"))</f>
        <v/>
      </c>
      <c r="D275" s="62"/>
      <c r="E275" s="62"/>
      <c r="F275" s="63"/>
    </row>
    <row r="276" spans="1:6" x14ac:dyDescent="0.3">
      <c r="A276" s="64"/>
      <c r="B276" s="61"/>
      <c r="C276" s="67" t="str">
        <f>IF(B276="","",IFERROR(INDEX(Carteira!$B$5:$B$204,MATCH(B276,Carteira!$A$5:$A$204,0)),"Obra não cadastrada"))</f>
        <v/>
      </c>
      <c r="D276" s="62"/>
      <c r="E276" s="62"/>
      <c r="F276" s="63"/>
    </row>
    <row r="277" spans="1:6" x14ac:dyDescent="0.3">
      <c r="A277" s="64"/>
      <c r="B277" s="61"/>
      <c r="C277" s="67" t="str">
        <f>IF(B277="","",IFERROR(INDEX(Carteira!$B$5:$B$204,MATCH(B277,Carteira!$A$5:$A$204,0)),"Obra não cadastrada"))</f>
        <v/>
      </c>
      <c r="D277" s="62"/>
      <c r="E277" s="62"/>
      <c r="F277" s="63"/>
    </row>
    <row r="278" spans="1:6" x14ac:dyDescent="0.3">
      <c r="A278" s="64"/>
      <c r="B278" s="61"/>
      <c r="C278" s="67" t="str">
        <f>IF(B278="","",IFERROR(INDEX(Carteira!$B$5:$B$204,MATCH(B278,Carteira!$A$5:$A$204,0)),"Obra não cadastrada"))</f>
        <v/>
      </c>
      <c r="D278" s="62"/>
      <c r="E278" s="62"/>
      <c r="F278" s="63"/>
    </row>
    <row r="279" spans="1:6" x14ac:dyDescent="0.3">
      <c r="A279" s="64"/>
      <c r="B279" s="61"/>
      <c r="C279" s="67" t="str">
        <f>IF(B279="","",IFERROR(INDEX(Carteira!$B$5:$B$204,MATCH(B279,Carteira!$A$5:$A$204,0)),"Obra não cadastrada"))</f>
        <v/>
      </c>
      <c r="D279" s="62"/>
      <c r="E279" s="62"/>
      <c r="F279" s="63"/>
    </row>
    <row r="280" spans="1:6" x14ac:dyDescent="0.3">
      <c r="A280" s="64"/>
      <c r="B280" s="61"/>
      <c r="C280" s="67" t="str">
        <f>IF(B280="","",IFERROR(INDEX(Carteira!$B$5:$B$204,MATCH(B280,Carteira!$A$5:$A$204,0)),"Obra não cadastrada"))</f>
        <v/>
      </c>
      <c r="D280" s="62"/>
      <c r="E280" s="62"/>
      <c r="F280" s="63"/>
    </row>
    <row r="281" spans="1:6" x14ac:dyDescent="0.3">
      <c r="A281" s="64"/>
      <c r="B281" s="61"/>
      <c r="C281" s="67" t="str">
        <f>IF(B281="","",IFERROR(INDEX(Carteira!$B$5:$B$204,MATCH(B281,Carteira!$A$5:$A$204,0)),"Obra não cadastrada"))</f>
        <v/>
      </c>
      <c r="D281" s="62"/>
      <c r="E281" s="62"/>
      <c r="F281" s="63"/>
    </row>
    <row r="282" spans="1:6" x14ac:dyDescent="0.3">
      <c r="A282" s="64"/>
      <c r="B282" s="61"/>
      <c r="C282" s="67" t="str">
        <f>IF(B282="","",IFERROR(INDEX(Carteira!$B$5:$B$204,MATCH(B282,Carteira!$A$5:$A$204,0)),"Obra não cadastrada"))</f>
        <v/>
      </c>
      <c r="D282" s="62"/>
      <c r="E282" s="62"/>
      <c r="F282" s="63"/>
    </row>
    <row r="283" spans="1:6" x14ac:dyDescent="0.3">
      <c r="A283" s="64"/>
      <c r="B283" s="61"/>
      <c r="C283" s="67" t="str">
        <f>IF(B283="","",IFERROR(INDEX(Carteira!$B$5:$B$204,MATCH(B283,Carteira!$A$5:$A$204,0)),"Obra não cadastrada"))</f>
        <v/>
      </c>
      <c r="D283" s="62"/>
      <c r="E283" s="62"/>
      <c r="F283" s="63"/>
    </row>
    <row r="284" spans="1:6" x14ac:dyDescent="0.3">
      <c r="A284" s="64"/>
      <c r="B284" s="61"/>
      <c r="C284" s="67" t="str">
        <f>IF(B284="","",IFERROR(INDEX(Carteira!$B$5:$B$204,MATCH(B284,Carteira!$A$5:$A$204,0)),"Obra não cadastrada"))</f>
        <v/>
      </c>
      <c r="D284" s="62"/>
      <c r="E284" s="62"/>
      <c r="F284" s="63"/>
    </row>
    <row r="285" spans="1:6" x14ac:dyDescent="0.3">
      <c r="A285" s="64"/>
      <c r="B285" s="61"/>
      <c r="C285" s="67" t="str">
        <f>IF(B285="","",IFERROR(INDEX(Carteira!$B$5:$B$204,MATCH(B285,Carteira!$A$5:$A$204,0)),"Obra não cadastrada"))</f>
        <v/>
      </c>
      <c r="D285" s="62"/>
      <c r="E285" s="62"/>
      <c r="F285" s="63"/>
    </row>
    <row r="286" spans="1:6" x14ac:dyDescent="0.3">
      <c r="A286" s="64"/>
      <c r="B286" s="61"/>
      <c r="C286" s="67" t="str">
        <f>IF(B286="","",IFERROR(INDEX(Carteira!$B$5:$B$204,MATCH(B286,Carteira!$A$5:$A$204,0)),"Obra não cadastrada"))</f>
        <v/>
      </c>
      <c r="D286" s="62"/>
      <c r="E286" s="62"/>
      <c r="F286" s="63"/>
    </row>
    <row r="287" spans="1:6" x14ac:dyDescent="0.3">
      <c r="A287" s="64"/>
      <c r="B287" s="61"/>
      <c r="C287" s="67" t="str">
        <f>IF(B287="","",IFERROR(INDEX(Carteira!$B$5:$B$204,MATCH(B287,Carteira!$A$5:$A$204,0)),"Obra não cadastrada"))</f>
        <v/>
      </c>
      <c r="D287" s="62"/>
      <c r="E287" s="62"/>
      <c r="F287" s="63"/>
    </row>
    <row r="288" spans="1:6" x14ac:dyDescent="0.3">
      <c r="A288" s="64"/>
      <c r="B288" s="61"/>
      <c r="C288" s="67" t="str">
        <f>IF(B288="","",IFERROR(INDEX(Carteira!$B$5:$B$204,MATCH(B288,Carteira!$A$5:$A$204,0)),"Obra não cadastrada"))</f>
        <v/>
      </c>
      <c r="D288" s="62"/>
      <c r="E288" s="62"/>
      <c r="F288" s="63"/>
    </row>
    <row r="289" spans="1:6" x14ac:dyDescent="0.3">
      <c r="A289" s="64"/>
      <c r="B289" s="61"/>
      <c r="C289" s="67" t="str">
        <f>IF(B289="","",IFERROR(INDEX(Carteira!$B$5:$B$204,MATCH(B289,Carteira!$A$5:$A$204,0)),"Obra não cadastrada"))</f>
        <v/>
      </c>
      <c r="D289" s="62"/>
      <c r="E289" s="62"/>
      <c r="F289" s="63"/>
    </row>
    <row r="290" spans="1:6" x14ac:dyDescent="0.3">
      <c r="A290" s="64"/>
      <c r="B290" s="61"/>
      <c r="C290" s="67" t="str">
        <f>IF(B290="","",IFERROR(INDEX(Carteira!$B$5:$B$204,MATCH(B290,Carteira!$A$5:$A$204,0)),"Obra não cadastrada"))</f>
        <v/>
      </c>
      <c r="D290" s="62"/>
      <c r="E290" s="62"/>
      <c r="F290" s="63"/>
    </row>
    <row r="291" spans="1:6" x14ac:dyDescent="0.3">
      <c r="A291" s="64"/>
      <c r="B291" s="61"/>
      <c r="C291" s="67" t="str">
        <f>IF(B291="","",IFERROR(INDEX(Carteira!$B$5:$B$204,MATCH(B291,Carteira!$A$5:$A$204,0)),"Obra não cadastrada"))</f>
        <v/>
      </c>
      <c r="D291" s="62"/>
      <c r="E291" s="62"/>
      <c r="F291" s="63"/>
    </row>
    <row r="292" spans="1:6" x14ac:dyDescent="0.3">
      <c r="A292" s="64"/>
      <c r="B292" s="61"/>
      <c r="C292" s="67" t="str">
        <f>IF(B292="","",IFERROR(INDEX(Carteira!$B$5:$B$204,MATCH(B292,Carteira!$A$5:$A$204,0)),"Obra não cadastrada"))</f>
        <v/>
      </c>
      <c r="D292" s="62"/>
      <c r="E292" s="62"/>
      <c r="F292" s="63"/>
    </row>
    <row r="293" spans="1:6" x14ac:dyDescent="0.3">
      <c r="A293" s="64"/>
      <c r="B293" s="61"/>
      <c r="C293" s="67" t="str">
        <f>IF(B293="","",IFERROR(INDEX(Carteira!$B$5:$B$204,MATCH(B293,Carteira!$A$5:$A$204,0)),"Obra não cadastrada"))</f>
        <v/>
      </c>
      <c r="D293" s="62"/>
      <c r="E293" s="62"/>
      <c r="F293" s="63"/>
    </row>
    <row r="294" spans="1:6" x14ac:dyDescent="0.3">
      <c r="A294" s="64"/>
      <c r="B294" s="61"/>
      <c r="C294" s="67" t="str">
        <f>IF(B294="","",IFERROR(INDEX(Carteira!$B$5:$B$204,MATCH(B294,Carteira!$A$5:$A$204,0)),"Obra não cadastrada"))</f>
        <v/>
      </c>
      <c r="D294" s="62"/>
      <c r="E294" s="62"/>
      <c r="F294" s="63"/>
    </row>
    <row r="295" spans="1:6" x14ac:dyDescent="0.3">
      <c r="A295" s="64"/>
      <c r="B295" s="61"/>
      <c r="C295" s="67" t="str">
        <f>IF(B295="","",IFERROR(INDEX(Carteira!$B$5:$B$204,MATCH(B295,Carteira!$A$5:$A$204,0)),"Obra não cadastrada"))</f>
        <v/>
      </c>
      <c r="D295" s="62"/>
      <c r="E295" s="62"/>
      <c r="F295" s="63"/>
    </row>
    <row r="296" spans="1:6" x14ac:dyDescent="0.3">
      <c r="A296" s="64"/>
      <c r="B296" s="61"/>
      <c r="C296" s="67" t="str">
        <f>IF(B296="","",IFERROR(INDEX(Carteira!$B$5:$B$204,MATCH(B296,Carteira!$A$5:$A$204,0)),"Obra não cadastrada"))</f>
        <v/>
      </c>
      <c r="D296" s="62"/>
      <c r="E296" s="62"/>
      <c r="F296" s="63"/>
    </row>
    <row r="297" spans="1:6" x14ac:dyDescent="0.3">
      <c r="A297" s="64"/>
      <c r="B297" s="61"/>
      <c r="C297" s="67" t="str">
        <f>IF(B297="","",IFERROR(INDEX(Carteira!$B$5:$B$204,MATCH(B297,Carteira!$A$5:$A$204,0)),"Obra não cadastrada"))</f>
        <v/>
      </c>
      <c r="D297" s="62"/>
      <c r="E297" s="62"/>
      <c r="F297" s="63"/>
    </row>
    <row r="298" spans="1:6" x14ac:dyDescent="0.3">
      <c r="A298" s="64"/>
      <c r="B298" s="61"/>
      <c r="C298" s="67" t="str">
        <f>IF(B298="","",IFERROR(INDEX(Carteira!$B$5:$B$204,MATCH(B298,Carteira!$A$5:$A$204,0)),"Obra não cadastrada"))</f>
        <v/>
      </c>
      <c r="D298" s="62"/>
      <c r="E298" s="62"/>
      <c r="F298" s="63"/>
    </row>
    <row r="299" spans="1:6" x14ac:dyDescent="0.3">
      <c r="A299" s="64"/>
      <c r="B299" s="61"/>
      <c r="C299" s="67" t="str">
        <f>IF(B299="","",IFERROR(INDEX(Carteira!$B$5:$B$204,MATCH(B299,Carteira!$A$5:$A$204,0)),"Obra não cadastrada"))</f>
        <v/>
      </c>
      <c r="D299" s="62"/>
      <c r="E299" s="62"/>
      <c r="F299" s="63"/>
    </row>
    <row r="300" spans="1:6" x14ac:dyDescent="0.3">
      <c r="A300" s="64"/>
      <c r="B300" s="61"/>
      <c r="C300" s="67" t="str">
        <f>IF(B300="","",IFERROR(INDEX(Carteira!$B$5:$B$204,MATCH(B300,Carteira!$A$5:$A$204,0)),"Obra não cadastrada"))</f>
        <v/>
      </c>
      <c r="D300" s="62"/>
      <c r="E300" s="62"/>
      <c r="F300" s="63"/>
    </row>
    <row r="301" spans="1:6" x14ac:dyDescent="0.3">
      <c r="A301" s="64"/>
      <c r="B301" s="61"/>
      <c r="C301" s="67" t="str">
        <f>IF(B301="","",IFERROR(INDEX(Carteira!$B$5:$B$204,MATCH(B301,Carteira!$A$5:$A$204,0)),"Obra não cadastrada"))</f>
        <v/>
      </c>
      <c r="D301" s="62"/>
      <c r="E301" s="62"/>
      <c r="F301" s="63"/>
    </row>
    <row r="302" spans="1:6" x14ac:dyDescent="0.3">
      <c r="A302" s="64"/>
      <c r="B302" s="61"/>
      <c r="C302" s="67" t="str">
        <f>IF(B302="","",IFERROR(INDEX(Carteira!$B$5:$B$204,MATCH(B302,Carteira!$A$5:$A$204,0)),"Obra não cadastrada"))</f>
        <v/>
      </c>
      <c r="D302" s="62"/>
      <c r="E302" s="62"/>
      <c r="F302" s="63"/>
    </row>
    <row r="303" spans="1:6" x14ac:dyDescent="0.3">
      <c r="A303" s="64"/>
      <c r="B303" s="61"/>
      <c r="C303" s="67" t="str">
        <f>IF(B303="","",IFERROR(INDEX(Carteira!$B$5:$B$204,MATCH(B303,Carteira!$A$5:$A$204,0)),"Obra não cadastrada"))</f>
        <v/>
      </c>
      <c r="D303" s="62"/>
      <c r="E303" s="62"/>
      <c r="F303" s="63"/>
    </row>
    <row r="304" spans="1:6" x14ac:dyDescent="0.3">
      <c r="A304" s="64"/>
      <c r="B304" s="61"/>
      <c r="C304" s="67" t="str">
        <f>IF(B304="","",IFERROR(INDEX(Carteira!$B$5:$B$204,MATCH(B304,Carteira!$A$5:$A$204,0)),"Obra não cadastrada"))</f>
        <v/>
      </c>
      <c r="D304" s="62"/>
      <c r="E304" s="62"/>
      <c r="F304" s="63"/>
    </row>
    <row r="305" spans="1:6" x14ac:dyDescent="0.3">
      <c r="A305" s="64"/>
      <c r="B305" s="61"/>
      <c r="C305" s="67" t="str">
        <f>IF(B305="","",IFERROR(INDEX(Carteira!$B$5:$B$204,MATCH(B305,Carteira!$A$5:$A$204,0)),"Obra não cadastrada"))</f>
        <v/>
      </c>
      <c r="D305" s="62"/>
      <c r="E305" s="62"/>
      <c r="F305" s="63"/>
    </row>
    <row r="306" spans="1:6" x14ac:dyDescent="0.3">
      <c r="A306" s="64"/>
      <c r="B306" s="61"/>
      <c r="C306" s="67" t="str">
        <f>IF(B306="","",IFERROR(INDEX(Carteira!$B$5:$B$204,MATCH(B306,Carteira!$A$5:$A$204,0)),"Obra não cadastrada"))</f>
        <v/>
      </c>
      <c r="D306" s="62"/>
      <c r="E306" s="62"/>
      <c r="F306" s="63"/>
    </row>
    <row r="307" spans="1:6" x14ac:dyDescent="0.3">
      <c r="A307" s="64"/>
      <c r="B307" s="61"/>
      <c r="C307" s="67" t="str">
        <f>IF(B307="","",IFERROR(INDEX(Carteira!$B$5:$B$204,MATCH(B307,Carteira!$A$5:$A$204,0)),"Obra não cadastrada"))</f>
        <v/>
      </c>
      <c r="D307" s="62"/>
      <c r="E307" s="62"/>
      <c r="F307" s="63"/>
    </row>
    <row r="308" spans="1:6" x14ac:dyDescent="0.3">
      <c r="A308" s="64"/>
      <c r="B308" s="61"/>
      <c r="C308" s="67" t="str">
        <f>IF(B308="","",IFERROR(INDEX(Carteira!$B$5:$B$204,MATCH(B308,Carteira!$A$5:$A$204,0)),"Obra não cadastrada"))</f>
        <v/>
      </c>
      <c r="D308" s="62"/>
      <c r="E308" s="62"/>
      <c r="F308" s="63"/>
    </row>
    <row r="309" spans="1:6" x14ac:dyDescent="0.3">
      <c r="A309" s="64"/>
      <c r="B309" s="61"/>
      <c r="C309" s="67" t="str">
        <f>IF(B309="","",IFERROR(INDEX(Carteira!$B$5:$B$204,MATCH(B309,Carteira!$A$5:$A$204,0)),"Obra não cadastrada"))</f>
        <v/>
      </c>
      <c r="D309" s="62"/>
      <c r="E309" s="62"/>
      <c r="F309" s="63"/>
    </row>
    <row r="310" spans="1:6" x14ac:dyDescent="0.3">
      <c r="A310" s="64"/>
      <c r="B310" s="61"/>
      <c r="C310" s="67" t="str">
        <f>IF(B310="","",IFERROR(INDEX(Carteira!$B$5:$B$204,MATCH(B310,Carteira!$A$5:$A$204,0)),"Obra não cadastrada"))</f>
        <v/>
      </c>
      <c r="D310" s="62"/>
      <c r="E310" s="62"/>
      <c r="F310" s="63"/>
    </row>
    <row r="311" spans="1:6" x14ac:dyDescent="0.3">
      <c r="A311" s="64"/>
      <c r="B311" s="61"/>
      <c r="C311" s="67" t="str">
        <f>IF(B311="","",IFERROR(INDEX(Carteira!$B$5:$B$204,MATCH(B311,Carteira!$A$5:$A$204,0)),"Obra não cadastrada"))</f>
        <v/>
      </c>
      <c r="D311" s="62"/>
      <c r="E311" s="62"/>
      <c r="F311" s="63"/>
    </row>
    <row r="312" spans="1:6" x14ac:dyDescent="0.3">
      <c r="A312" s="64"/>
      <c r="B312" s="61"/>
      <c r="C312" s="67" t="str">
        <f>IF(B312="","",IFERROR(INDEX(Carteira!$B$5:$B$204,MATCH(B312,Carteira!$A$5:$A$204,0)),"Obra não cadastrada"))</f>
        <v/>
      </c>
      <c r="D312" s="62"/>
      <c r="E312" s="62"/>
      <c r="F312" s="63"/>
    </row>
    <row r="313" spans="1:6" x14ac:dyDescent="0.3">
      <c r="A313" s="64"/>
      <c r="B313" s="61"/>
      <c r="C313" s="67" t="str">
        <f>IF(B313="","",IFERROR(INDEX(Carteira!$B$5:$B$204,MATCH(B313,Carteira!$A$5:$A$204,0)),"Obra não cadastrada"))</f>
        <v/>
      </c>
      <c r="D313" s="62"/>
      <c r="E313" s="62"/>
      <c r="F313" s="63"/>
    </row>
    <row r="314" spans="1:6" x14ac:dyDescent="0.3">
      <c r="A314" s="64"/>
      <c r="B314" s="61"/>
      <c r="C314" s="67" t="str">
        <f>IF(B314="","",IFERROR(INDEX(Carteira!$B$5:$B$204,MATCH(B314,Carteira!$A$5:$A$204,0)),"Obra não cadastrada"))</f>
        <v/>
      </c>
      <c r="D314" s="62"/>
      <c r="E314" s="62"/>
      <c r="F314" s="63"/>
    </row>
    <row r="315" spans="1:6" x14ac:dyDescent="0.3">
      <c r="A315" s="64"/>
      <c r="B315" s="61"/>
      <c r="C315" s="67" t="str">
        <f>IF(B315="","",IFERROR(INDEX(Carteira!$B$5:$B$204,MATCH(B315,Carteira!$A$5:$A$204,0)),"Obra não cadastrada"))</f>
        <v/>
      </c>
      <c r="D315" s="62"/>
      <c r="E315" s="62"/>
      <c r="F315" s="63"/>
    </row>
    <row r="316" spans="1:6" x14ac:dyDescent="0.3">
      <c r="A316" s="64"/>
      <c r="B316" s="61"/>
      <c r="C316" s="67" t="str">
        <f>IF(B316="","",IFERROR(INDEX(Carteira!$B$5:$B$204,MATCH(B316,Carteira!$A$5:$A$204,0)),"Obra não cadastrada"))</f>
        <v/>
      </c>
      <c r="D316" s="62"/>
      <c r="E316" s="62"/>
      <c r="F316" s="63"/>
    </row>
    <row r="317" spans="1:6" x14ac:dyDescent="0.3">
      <c r="A317" s="64"/>
      <c r="B317" s="61"/>
      <c r="C317" s="67" t="str">
        <f>IF(B317="","",IFERROR(INDEX(Carteira!$B$5:$B$204,MATCH(B317,Carteira!$A$5:$A$204,0)),"Obra não cadastrada"))</f>
        <v/>
      </c>
      <c r="D317" s="62"/>
      <c r="E317" s="62"/>
      <c r="F317" s="63"/>
    </row>
    <row r="318" spans="1:6" x14ac:dyDescent="0.3">
      <c r="A318" s="64"/>
      <c r="B318" s="61"/>
      <c r="C318" s="67" t="str">
        <f>IF(B318="","",IFERROR(INDEX(Carteira!$B$5:$B$204,MATCH(B318,Carteira!$A$5:$A$204,0)),"Obra não cadastrada"))</f>
        <v/>
      </c>
      <c r="D318" s="62"/>
      <c r="E318" s="62"/>
      <c r="F318" s="63"/>
    </row>
    <row r="319" spans="1:6" x14ac:dyDescent="0.3">
      <c r="A319" s="64"/>
      <c r="B319" s="61"/>
      <c r="C319" s="67" t="str">
        <f>IF(B319="","",IFERROR(INDEX(Carteira!$B$5:$B$204,MATCH(B319,Carteira!$A$5:$A$204,0)),"Obra não cadastrada"))</f>
        <v/>
      </c>
      <c r="D319" s="62"/>
      <c r="E319" s="62"/>
      <c r="F319" s="63"/>
    </row>
    <row r="320" spans="1:6" x14ac:dyDescent="0.3">
      <c r="A320" s="64"/>
      <c r="B320" s="61"/>
      <c r="C320" s="67" t="str">
        <f>IF(B320="","",IFERROR(INDEX(Carteira!$B$5:$B$204,MATCH(B320,Carteira!$A$5:$A$204,0)),"Obra não cadastrada"))</f>
        <v/>
      </c>
      <c r="D320" s="62"/>
      <c r="E320" s="62"/>
      <c r="F320" s="63"/>
    </row>
    <row r="321" spans="1:6" x14ac:dyDescent="0.3">
      <c r="A321" s="64"/>
      <c r="B321" s="61"/>
      <c r="C321" s="67" t="str">
        <f>IF(B321="","",IFERROR(INDEX(Carteira!$B$5:$B$204,MATCH(B321,Carteira!$A$5:$A$204,0)),"Obra não cadastrada"))</f>
        <v/>
      </c>
      <c r="D321" s="62"/>
      <c r="E321" s="62"/>
      <c r="F321" s="63"/>
    </row>
    <row r="322" spans="1:6" x14ac:dyDescent="0.3">
      <c r="A322" s="64"/>
      <c r="B322" s="61"/>
      <c r="C322" s="67" t="str">
        <f>IF(B322="","",IFERROR(INDEX(Carteira!$B$5:$B$204,MATCH(B322,Carteira!$A$5:$A$204,0)),"Obra não cadastrada"))</f>
        <v/>
      </c>
      <c r="D322" s="62"/>
      <c r="E322" s="62"/>
      <c r="F322" s="63"/>
    </row>
    <row r="323" spans="1:6" x14ac:dyDescent="0.3">
      <c r="A323" s="64"/>
      <c r="B323" s="61"/>
      <c r="C323" s="67" t="str">
        <f>IF(B323="","",IFERROR(INDEX(Carteira!$B$5:$B$204,MATCH(B323,Carteira!$A$5:$A$204,0)),"Obra não cadastrada"))</f>
        <v/>
      </c>
      <c r="D323" s="62"/>
      <c r="E323" s="62"/>
      <c r="F323" s="63"/>
    </row>
    <row r="324" spans="1:6" x14ac:dyDescent="0.3">
      <c r="A324" s="64"/>
      <c r="B324" s="61"/>
      <c r="C324" s="67" t="str">
        <f>IF(B324="","",IFERROR(INDEX(Carteira!$B$5:$B$204,MATCH(B324,Carteira!$A$5:$A$204,0)),"Obra não cadastrada"))</f>
        <v/>
      </c>
      <c r="D324" s="62"/>
      <c r="E324" s="62"/>
      <c r="F324" s="63"/>
    </row>
    <row r="325" spans="1:6" x14ac:dyDescent="0.3">
      <c r="A325" s="64"/>
      <c r="B325" s="61"/>
      <c r="C325" s="67" t="str">
        <f>IF(B325="","",IFERROR(INDEX(Carteira!$B$5:$B$204,MATCH(B325,Carteira!$A$5:$A$204,0)),"Obra não cadastrada"))</f>
        <v/>
      </c>
      <c r="D325" s="62"/>
      <c r="E325" s="62"/>
      <c r="F325" s="63"/>
    </row>
    <row r="326" spans="1:6" x14ac:dyDescent="0.3">
      <c r="A326" s="64"/>
      <c r="B326" s="61"/>
      <c r="C326" s="67" t="str">
        <f>IF(B326="","",IFERROR(INDEX(Carteira!$B$5:$B$204,MATCH(B326,Carteira!$A$5:$A$204,0)),"Obra não cadastrada"))</f>
        <v/>
      </c>
      <c r="D326" s="62"/>
      <c r="E326" s="62"/>
      <c r="F326" s="63"/>
    </row>
    <row r="327" spans="1:6" x14ac:dyDescent="0.3">
      <c r="A327" s="64"/>
      <c r="B327" s="61"/>
      <c r="C327" s="67" t="str">
        <f>IF(B327="","",IFERROR(INDEX(Carteira!$B$5:$B$204,MATCH(B327,Carteira!$A$5:$A$204,0)),"Obra não cadastrada"))</f>
        <v/>
      </c>
      <c r="D327" s="62"/>
      <c r="E327" s="62"/>
      <c r="F327" s="63"/>
    </row>
    <row r="328" spans="1:6" x14ac:dyDescent="0.3">
      <c r="A328" s="64"/>
      <c r="B328" s="61"/>
      <c r="C328" s="67" t="str">
        <f>IF(B328="","",IFERROR(INDEX(Carteira!$B$5:$B$204,MATCH(B328,Carteira!$A$5:$A$204,0)),"Obra não cadastrada"))</f>
        <v/>
      </c>
      <c r="D328" s="62"/>
      <c r="E328" s="62"/>
      <c r="F328" s="63"/>
    </row>
    <row r="329" spans="1:6" x14ac:dyDescent="0.3">
      <c r="A329" s="64"/>
      <c r="B329" s="61"/>
      <c r="C329" s="67" t="str">
        <f>IF(B329="","",IFERROR(INDEX(Carteira!$B$5:$B$204,MATCH(B329,Carteira!$A$5:$A$204,0)),"Obra não cadastrada"))</f>
        <v/>
      </c>
      <c r="D329" s="62"/>
      <c r="E329" s="62"/>
      <c r="F329" s="63"/>
    </row>
    <row r="330" spans="1:6" x14ac:dyDescent="0.3">
      <c r="A330" s="64"/>
      <c r="B330" s="61"/>
      <c r="C330" s="67" t="str">
        <f>IF(B330="","",IFERROR(INDEX(Carteira!$B$5:$B$204,MATCH(B330,Carteira!$A$5:$A$204,0)),"Obra não cadastrada"))</f>
        <v/>
      </c>
      <c r="D330" s="62"/>
      <c r="E330" s="62"/>
      <c r="F330" s="63"/>
    </row>
    <row r="331" spans="1:6" x14ac:dyDescent="0.3">
      <c r="A331" s="64"/>
      <c r="B331" s="61"/>
      <c r="C331" s="67" t="str">
        <f>IF(B331="","",IFERROR(INDEX(Carteira!$B$5:$B$204,MATCH(B331,Carteira!$A$5:$A$204,0)),"Obra não cadastrada"))</f>
        <v/>
      </c>
      <c r="D331" s="62"/>
      <c r="E331" s="62"/>
      <c r="F331" s="63"/>
    </row>
    <row r="332" spans="1:6" x14ac:dyDescent="0.3">
      <c r="A332" s="64"/>
      <c r="B332" s="61"/>
      <c r="C332" s="67" t="str">
        <f>IF(B332="","",IFERROR(INDEX(Carteira!$B$5:$B$204,MATCH(B332,Carteira!$A$5:$A$204,0)),"Obra não cadastrada"))</f>
        <v/>
      </c>
      <c r="D332" s="62"/>
      <c r="E332" s="62"/>
      <c r="F332" s="63"/>
    </row>
    <row r="333" spans="1:6" x14ac:dyDescent="0.3">
      <c r="A333" s="64"/>
      <c r="B333" s="61"/>
      <c r="C333" s="67" t="str">
        <f>IF(B333="","",IFERROR(INDEX(Carteira!$B$5:$B$204,MATCH(B333,Carteira!$A$5:$A$204,0)),"Obra não cadastrada"))</f>
        <v/>
      </c>
      <c r="D333" s="62"/>
      <c r="E333" s="62"/>
      <c r="F333" s="63"/>
    </row>
    <row r="334" spans="1:6" x14ac:dyDescent="0.3">
      <c r="A334" s="64"/>
      <c r="B334" s="61"/>
      <c r="C334" s="67" t="str">
        <f>IF(B334="","",IFERROR(INDEX(Carteira!$B$5:$B$204,MATCH(B334,Carteira!$A$5:$A$204,0)),"Obra não cadastrada"))</f>
        <v/>
      </c>
      <c r="D334" s="62"/>
      <c r="E334" s="62"/>
      <c r="F334" s="63"/>
    </row>
    <row r="335" spans="1:6" x14ac:dyDescent="0.3">
      <c r="A335" s="64"/>
      <c r="B335" s="61"/>
      <c r="C335" s="67" t="str">
        <f>IF(B335="","",IFERROR(INDEX(Carteira!$B$5:$B$204,MATCH(B335,Carteira!$A$5:$A$204,0)),"Obra não cadastrada"))</f>
        <v/>
      </c>
      <c r="D335" s="62"/>
      <c r="E335" s="62"/>
      <c r="F335" s="63"/>
    </row>
    <row r="336" spans="1:6" x14ac:dyDescent="0.3">
      <c r="A336" s="64"/>
      <c r="B336" s="61"/>
      <c r="C336" s="67" t="str">
        <f>IF(B336="","",IFERROR(INDEX(Carteira!$B$5:$B$204,MATCH(B336,Carteira!$A$5:$A$204,0)),"Obra não cadastrada"))</f>
        <v/>
      </c>
      <c r="D336" s="62"/>
      <c r="E336" s="62"/>
      <c r="F336" s="63"/>
    </row>
    <row r="337" spans="1:6" x14ac:dyDescent="0.3">
      <c r="A337" s="64"/>
      <c r="B337" s="61"/>
      <c r="C337" s="67" t="str">
        <f>IF(B337="","",IFERROR(INDEX(Carteira!$B$5:$B$204,MATCH(B337,Carteira!$A$5:$A$204,0)),"Obra não cadastrada"))</f>
        <v/>
      </c>
      <c r="D337" s="62"/>
      <c r="E337" s="62"/>
      <c r="F337" s="63"/>
    </row>
    <row r="338" spans="1:6" x14ac:dyDescent="0.3">
      <c r="A338" s="64"/>
      <c r="B338" s="61"/>
      <c r="C338" s="67" t="str">
        <f>IF(B338="","",IFERROR(INDEX(Carteira!$B$5:$B$204,MATCH(B338,Carteira!$A$5:$A$204,0)),"Obra não cadastrada"))</f>
        <v/>
      </c>
      <c r="D338" s="62"/>
      <c r="E338" s="62"/>
      <c r="F338" s="63"/>
    </row>
    <row r="339" spans="1:6" x14ac:dyDescent="0.3">
      <c r="A339" s="64"/>
      <c r="B339" s="61"/>
      <c r="C339" s="67" t="str">
        <f>IF(B339="","",IFERROR(INDEX(Carteira!$B$5:$B$204,MATCH(B339,Carteira!$A$5:$A$204,0)),"Obra não cadastrada"))</f>
        <v/>
      </c>
      <c r="D339" s="62"/>
      <c r="E339" s="62"/>
      <c r="F339" s="63"/>
    </row>
    <row r="340" spans="1:6" x14ac:dyDescent="0.3">
      <c r="A340" s="64"/>
      <c r="B340" s="61"/>
      <c r="C340" s="67" t="str">
        <f>IF(B340="","",IFERROR(INDEX(Carteira!$B$5:$B$204,MATCH(B340,Carteira!$A$5:$A$204,0)),"Obra não cadastrada"))</f>
        <v/>
      </c>
      <c r="D340" s="62"/>
      <c r="E340" s="62"/>
      <c r="F340" s="63"/>
    </row>
    <row r="341" spans="1:6" x14ac:dyDescent="0.3">
      <c r="A341" s="64"/>
      <c r="B341" s="61"/>
      <c r="C341" s="67" t="str">
        <f>IF(B341="","",IFERROR(INDEX(Carteira!$B$5:$B$204,MATCH(B341,Carteira!$A$5:$A$204,0)),"Obra não cadastrada"))</f>
        <v/>
      </c>
      <c r="D341" s="62"/>
      <c r="E341" s="62"/>
      <c r="F341" s="63"/>
    </row>
    <row r="342" spans="1:6" x14ac:dyDescent="0.3">
      <c r="A342" s="64"/>
      <c r="B342" s="61"/>
      <c r="C342" s="67" t="str">
        <f>IF(B342="","",IFERROR(INDEX(Carteira!$B$5:$B$204,MATCH(B342,Carteira!$A$5:$A$204,0)),"Obra não cadastrada"))</f>
        <v/>
      </c>
      <c r="D342" s="62"/>
      <c r="E342" s="62"/>
      <c r="F342" s="63"/>
    </row>
    <row r="343" spans="1:6" x14ac:dyDescent="0.3">
      <c r="A343" s="64"/>
      <c r="B343" s="61"/>
      <c r="C343" s="67" t="str">
        <f>IF(B343="","",IFERROR(INDEX(Carteira!$B$5:$B$204,MATCH(B343,Carteira!$A$5:$A$204,0)),"Obra não cadastrada"))</f>
        <v/>
      </c>
      <c r="D343" s="62"/>
      <c r="E343" s="62"/>
      <c r="F343" s="63"/>
    </row>
    <row r="344" spans="1:6" x14ac:dyDescent="0.3">
      <c r="A344" s="64"/>
      <c r="B344" s="61"/>
      <c r="C344" s="67" t="str">
        <f>IF(B344="","",IFERROR(INDEX(Carteira!$B$5:$B$204,MATCH(B344,Carteira!$A$5:$A$204,0)),"Obra não cadastrada"))</f>
        <v/>
      </c>
      <c r="D344" s="62"/>
      <c r="E344" s="62"/>
      <c r="F344" s="63"/>
    </row>
    <row r="345" spans="1:6" x14ac:dyDescent="0.3">
      <c r="A345" s="64"/>
      <c r="B345" s="61"/>
      <c r="C345" s="67" t="str">
        <f>IF(B345="","",IFERROR(INDEX(Carteira!$B$5:$B$204,MATCH(B345,Carteira!$A$5:$A$204,0)),"Obra não cadastrada"))</f>
        <v/>
      </c>
      <c r="D345" s="62"/>
      <c r="E345" s="62"/>
      <c r="F345" s="63"/>
    </row>
    <row r="346" spans="1:6" x14ac:dyDescent="0.3">
      <c r="A346" s="64"/>
      <c r="B346" s="61"/>
      <c r="C346" s="67" t="str">
        <f>IF(B346="","",IFERROR(INDEX(Carteira!$B$5:$B$204,MATCH(B346,Carteira!$A$5:$A$204,0)),"Obra não cadastrada"))</f>
        <v/>
      </c>
      <c r="D346" s="62"/>
      <c r="E346" s="62"/>
      <c r="F346" s="63"/>
    </row>
    <row r="347" spans="1:6" x14ac:dyDescent="0.3">
      <c r="A347" s="64"/>
      <c r="B347" s="61"/>
      <c r="C347" s="67" t="str">
        <f>IF(B347="","",IFERROR(INDEX(Carteira!$B$5:$B$204,MATCH(B347,Carteira!$A$5:$A$204,0)),"Obra não cadastrada"))</f>
        <v/>
      </c>
      <c r="D347" s="62"/>
      <c r="E347" s="62"/>
      <c r="F347" s="63"/>
    </row>
    <row r="348" spans="1:6" x14ac:dyDescent="0.3">
      <c r="A348" s="64"/>
      <c r="B348" s="61"/>
      <c r="C348" s="67" t="str">
        <f>IF(B348="","",IFERROR(INDEX(Carteira!$B$5:$B$204,MATCH(B348,Carteira!$A$5:$A$204,0)),"Obra não cadastrada"))</f>
        <v/>
      </c>
      <c r="D348" s="62"/>
      <c r="E348" s="62"/>
      <c r="F348" s="63"/>
    </row>
    <row r="349" spans="1:6" x14ac:dyDescent="0.3">
      <c r="A349" s="64"/>
      <c r="B349" s="61"/>
      <c r="C349" s="67" t="str">
        <f>IF(B349="","",IFERROR(INDEX(Carteira!$B$5:$B$204,MATCH(B349,Carteira!$A$5:$A$204,0)),"Obra não cadastrada"))</f>
        <v/>
      </c>
      <c r="D349" s="62"/>
      <c r="E349" s="62"/>
      <c r="F349" s="63"/>
    </row>
    <row r="350" spans="1:6" x14ac:dyDescent="0.3">
      <c r="A350" s="64"/>
      <c r="B350" s="61"/>
      <c r="C350" s="67" t="str">
        <f>IF(B350="","",IFERROR(INDEX(Carteira!$B$5:$B$204,MATCH(B350,Carteira!$A$5:$A$204,0)),"Obra não cadastrada"))</f>
        <v/>
      </c>
      <c r="D350" s="62"/>
      <c r="E350" s="62"/>
      <c r="F350" s="63"/>
    </row>
    <row r="351" spans="1:6" x14ac:dyDescent="0.3">
      <c r="A351" s="64"/>
      <c r="B351" s="61"/>
      <c r="C351" s="67" t="str">
        <f>IF(B351="","",IFERROR(INDEX(Carteira!$B$5:$B$204,MATCH(B351,Carteira!$A$5:$A$204,0)),"Obra não cadastrada"))</f>
        <v/>
      </c>
      <c r="D351" s="62"/>
      <c r="E351" s="62"/>
      <c r="F351" s="63"/>
    </row>
    <row r="352" spans="1:6" x14ac:dyDescent="0.3">
      <c r="A352" s="64"/>
      <c r="B352" s="61"/>
      <c r="C352" s="67" t="str">
        <f>IF(B352="","",IFERROR(INDEX(Carteira!$B$5:$B$204,MATCH(B352,Carteira!$A$5:$A$204,0)),"Obra não cadastrada"))</f>
        <v/>
      </c>
      <c r="D352" s="62"/>
      <c r="E352" s="62"/>
      <c r="F352" s="63"/>
    </row>
    <row r="353" spans="1:6" x14ac:dyDescent="0.3">
      <c r="A353" s="64"/>
      <c r="B353" s="61"/>
      <c r="C353" s="67" t="str">
        <f>IF(B353="","",IFERROR(INDEX(Carteira!$B$5:$B$204,MATCH(B353,Carteira!$A$5:$A$204,0)),"Obra não cadastrada"))</f>
        <v/>
      </c>
      <c r="D353" s="62"/>
      <c r="E353" s="62"/>
      <c r="F353" s="63"/>
    </row>
    <row r="354" spans="1:6" x14ac:dyDescent="0.3">
      <c r="A354" s="64"/>
      <c r="B354" s="61"/>
      <c r="C354" s="67" t="str">
        <f>IF(B354="","",IFERROR(INDEX(Carteira!$B$5:$B$204,MATCH(B354,Carteira!$A$5:$A$204,0)),"Obra não cadastrada"))</f>
        <v/>
      </c>
      <c r="D354" s="62"/>
      <c r="E354" s="62"/>
      <c r="F354" s="63"/>
    </row>
    <row r="355" spans="1:6" x14ac:dyDescent="0.3">
      <c r="A355" s="64"/>
      <c r="B355" s="61"/>
      <c r="C355" s="67" t="str">
        <f>IF(B355="","",IFERROR(INDEX(Carteira!$B$5:$B$204,MATCH(B355,Carteira!$A$5:$A$204,0)),"Obra não cadastrada"))</f>
        <v/>
      </c>
      <c r="D355" s="62"/>
      <c r="E355" s="62"/>
      <c r="F355" s="63"/>
    </row>
    <row r="356" spans="1:6" x14ac:dyDescent="0.3">
      <c r="A356" s="64"/>
      <c r="B356" s="61"/>
      <c r="C356" s="67" t="str">
        <f>IF(B356="","",IFERROR(INDEX(Carteira!$B$5:$B$204,MATCH(B356,Carteira!$A$5:$A$204,0)),"Obra não cadastrada"))</f>
        <v/>
      </c>
      <c r="D356" s="62"/>
      <c r="E356" s="62"/>
      <c r="F356" s="63"/>
    </row>
    <row r="357" spans="1:6" x14ac:dyDescent="0.3">
      <c r="A357" s="64"/>
      <c r="B357" s="61"/>
      <c r="C357" s="67" t="str">
        <f>IF(B357="","",IFERROR(INDEX(Carteira!$B$5:$B$204,MATCH(B357,Carteira!$A$5:$A$204,0)),"Obra não cadastrada"))</f>
        <v/>
      </c>
      <c r="D357" s="62"/>
      <c r="E357" s="62"/>
      <c r="F357" s="63"/>
    </row>
    <row r="358" spans="1:6" x14ac:dyDescent="0.3">
      <c r="A358" s="64"/>
      <c r="B358" s="61"/>
      <c r="C358" s="67" t="str">
        <f>IF(B358="","",IFERROR(INDEX(Carteira!$B$5:$B$204,MATCH(B358,Carteira!$A$5:$A$204,0)),"Obra não cadastrada"))</f>
        <v/>
      </c>
      <c r="D358" s="62"/>
      <c r="E358" s="62"/>
      <c r="F358" s="63"/>
    </row>
    <row r="359" spans="1:6" x14ac:dyDescent="0.3">
      <c r="A359" s="64"/>
      <c r="B359" s="61"/>
      <c r="C359" s="67" t="str">
        <f>IF(B359="","",IFERROR(INDEX(Carteira!$B$5:$B$204,MATCH(B359,Carteira!$A$5:$A$204,0)),"Obra não cadastrada"))</f>
        <v/>
      </c>
      <c r="D359" s="62"/>
      <c r="E359" s="62"/>
      <c r="F359" s="63"/>
    </row>
    <row r="360" spans="1:6" x14ac:dyDescent="0.3">
      <c r="A360" s="64"/>
      <c r="B360" s="61"/>
      <c r="C360" s="67" t="str">
        <f>IF(B360="","",IFERROR(INDEX(Carteira!$B$5:$B$204,MATCH(B360,Carteira!$A$5:$A$204,0)),"Obra não cadastrada"))</f>
        <v/>
      </c>
      <c r="D360" s="62"/>
      <c r="E360" s="62"/>
      <c r="F360" s="63"/>
    </row>
    <row r="361" spans="1:6" x14ac:dyDescent="0.3">
      <c r="A361" s="64"/>
      <c r="B361" s="61"/>
      <c r="C361" s="67" t="str">
        <f>IF(B361="","",IFERROR(INDEX(Carteira!$B$5:$B$204,MATCH(B361,Carteira!$A$5:$A$204,0)),"Obra não cadastrada"))</f>
        <v/>
      </c>
      <c r="D361" s="62"/>
      <c r="E361" s="62"/>
      <c r="F361" s="63"/>
    </row>
    <row r="362" spans="1:6" x14ac:dyDescent="0.3">
      <c r="A362" s="64"/>
      <c r="B362" s="61"/>
      <c r="C362" s="67" t="str">
        <f>IF(B362="","",IFERROR(INDEX(Carteira!$B$5:$B$204,MATCH(B362,Carteira!$A$5:$A$204,0)),"Obra não cadastrada"))</f>
        <v/>
      </c>
      <c r="D362" s="62"/>
      <c r="E362" s="62"/>
      <c r="F362" s="63"/>
    </row>
    <row r="363" spans="1:6" x14ac:dyDescent="0.3">
      <c r="A363" s="64"/>
      <c r="B363" s="61"/>
      <c r="C363" s="67" t="str">
        <f>IF(B363="","",IFERROR(INDEX(Carteira!$B$5:$B$204,MATCH(B363,Carteira!$A$5:$A$204,0)),"Obra não cadastrada"))</f>
        <v/>
      </c>
      <c r="D363" s="62"/>
      <c r="E363" s="62"/>
      <c r="F363" s="63"/>
    </row>
    <row r="364" spans="1:6" x14ac:dyDescent="0.3">
      <c r="A364" s="64"/>
      <c r="B364" s="61"/>
      <c r="C364" s="67" t="str">
        <f>IF(B364="","",IFERROR(INDEX(Carteira!$B$5:$B$204,MATCH(B364,Carteira!$A$5:$A$204,0)),"Obra não cadastrada"))</f>
        <v/>
      </c>
      <c r="D364" s="62"/>
      <c r="E364" s="62"/>
      <c r="F364" s="63"/>
    </row>
    <row r="365" spans="1:6" x14ac:dyDescent="0.3">
      <c r="A365" s="64"/>
      <c r="B365" s="61"/>
      <c r="C365" s="67" t="str">
        <f>IF(B365="","",IFERROR(INDEX(Carteira!$B$5:$B$204,MATCH(B365,Carteira!$A$5:$A$204,0)),"Obra não cadastrada"))</f>
        <v/>
      </c>
      <c r="D365" s="62"/>
      <c r="E365" s="62"/>
      <c r="F365" s="63"/>
    </row>
    <row r="366" spans="1:6" x14ac:dyDescent="0.3">
      <c r="A366" s="64"/>
      <c r="B366" s="61"/>
      <c r="C366" s="67" t="str">
        <f>IF(B366="","",IFERROR(INDEX(Carteira!$B$5:$B$204,MATCH(B366,Carteira!$A$5:$A$204,0)),"Obra não cadastrada"))</f>
        <v/>
      </c>
      <c r="D366" s="62"/>
      <c r="E366" s="62"/>
      <c r="F366" s="63"/>
    </row>
    <row r="367" spans="1:6" x14ac:dyDescent="0.3">
      <c r="A367" s="64"/>
      <c r="B367" s="61"/>
      <c r="C367" s="67" t="str">
        <f>IF(B367="","",IFERROR(INDEX(Carteira!$B$5:$B$204,MATCH(B367,Carteira!$A$5:$A$204,0)),"Obra não cadastrada"))</f>
        <v/>
      </c>
      <c r="D367" s="62"/>
      <c r="E367" s="62"/>
      <c r="F367" s="63"/>
    </row>
    <row r="368" spans="1:6" x14ac:dyDescent="0.3">
      <c r="A368" s="64"/>
      <c r="B368" s="61"/>
      <c r="C368" s="67" t="str">
        <f>IF(B368="","",IFERROR(INDEX(Carteira!$B$5:$B$204,MATCH(B368,Carteira!$A$5:$A$204,0)),"Obra não cadastrada"))</f>
        <v/>
      </c>
      <c r="D368" s="62"/>
      <c r="E368" s="62"/>
      <c r="F368" s="63"/>
    </row>
    <row r="369" spans="1:6" x14ac:dyDescent="0.3">
      <c r="A369" s="64"/>
      <c r="B369" s="61"/>
      <c r="C369" s="67" t="str">
        <f>IF(B369="","",IFERROR(INDEX(Carteira!$B$5:$B$204,MATCH(B369,Carteira!$A$5:$A$204,0)),"Obra não cadastrada"))</f>
        <v/>
      </c>
      <c r="D369" s="62"/>
      <c r="E369" s="62"/>
      <c r="F369" s="63"/>
    </row>
    <row r="370" spans="1:6" x14ac:dyDescent="0.3">
      <c r="A370" s="64"/>
      <c r="B370" s="61"/>
      <c r="C370" s="67" t="str">
        <f>IF(B370="","",IFERROR(INDEX(Carteira!$B$5:$B$204,MATCH(B370,Carteira!$A$5:$A$204,0)),"Obra não cadastrada"))</f>
        <v/>
      </c>
      <c r="D370" s="62"/>
      <c r="E370" s="62"/>
      <c r="F370" s="63"/>
    </row>
    <row r="371" spans="1:6" x14ac:dyDescent="0.3">
      <c r="A371" s="64"/>
      <c r="B371" s="61"/>
      <c r="C371" s="67" t="str">
        <f>IF(B371="","",IFERROR(INDEX(Carteira!$B$5:$B$204,MATCH(B371,Carteira!$A$5:$A$204,0)),"Obra não cadastrada"))</f>
        <v/>
      </c>
      <c r="D371" s="62"/>
      <c r="E371" s="62"/>
      <c r="F371" s="63"/>
    </row>
    <row r="372" spans="1:6" x14ac:dyDescent="0.3">
      <c r="A372" s="64"/>
      <c r="B372" s="61"/>
      <c r="C372" s="67" t="str">
        <f>IF(B372="","",IFERROR(INDEX(Carteira!$B$5:$B$204,MATCH(B372,Carteira!$A$5:$A$204,0)),"Obra não cadastrada"))</f>
        <v/>
      </c>
      <c r="D372" s="62"/>
      <c r="E372" s="62"/>
      <c r="F372" s="63"/>
    </row>
    <row r="373" spans="1:6" x14ac:dyDescent="0.3">
      <c r="A373" s="64"/>
      <c r="B373" s="61"/>
      <c r="C373" s="67" t="str">
        <f>IF(B373="","",IFERROR(INDEX(Carteira!$B$5:$B$204,MATCH(B373,Carteira!$A$5:$A$204,0)),"Obra não cadastrada"))</f>
        <v/>
      </c>
      <c r="D373" s="62"/>
      <c r="E373" s="62"/>
      <c r="F373" s="63"/>
    </row>
    <row r="374" spans="1:6" x14ac:dyDescent="0.3">
      <c r="A374" s="64"/>
      <c r="B374" s="61"/>
      <c r="C374" s="67" t="str">
        <f>IF(B374="","",IFERROR(INDEX(Carteira!$B$5:$B$204,MATCH(B374,Carteira!$A$5:$A$204,0)),"Obra não cadastrada"))</f>
        <v/>
      </c>
      <c r="D374" s="62"/>
      <c r="E374" s="62"/>
      <c r="F374" s="63"/>
    </row>
    <row r="375" spans="1:6" x14ac:dyDescent="0.3">
      <c r="A375" s="64"/>
      <c r="B375" s="61"/>
      <c r="C375" s="67" t="str">
        <f>IF(B375="","",IFERROR(INDEX(Carteira!$B$5:$B$204,MATCH(B375,Carteira!$A$5:$A$204,0)),"Obra não cadastrada"))</f>
        <v/>
      </c>
      <c r="D375" s="62"/>
      <c r="E375" s="62"/>
      <c r="F375" s="63"/>
    </row>
    <row r="376" spans="1:6" x14ac:dyDescent="0.3">
      <c r="A376" s="64"/>
      <c r="B376" s="61"/>
      <c r="C376" s="67" t="str">
        <f>IF(B376="","",IFERROR(INDEX(Carteira!$B$5:$B$204,MATCH(B376,Carteira!$A$5:$A$204,0)),"Obra não cadastrada"))</f>
        <v/>
      </c>
      <c r="D376" s="62"/>
      <c r="E376" s="62"/>
      <c r="F376" s="63"/>
    </row>
    <row r="377" spans="1:6" x14ac:dyDescent="0.3">
      <c r="A377" s="64"/>
      <c r="B377" s="61"/>
      <c r="C377" s="67" t="str">
        <f>IF(B377="","",IFERROR(INDEX(Carteira!$B$5:$B$204,MATCH(B377,Carteira!$A$5:$A$204,0)),"Obra não cadastrada"))</f>
        <v/>
      </c>
      <c r="D377" s="62"/>
      <c r="E377" s="62"/>
      <c r="F377" s="63"/>
    </row>
    <row r="378" spans="1:6" x14ac:dyDescent="0.3">
      <c r="A378" s="64"/>
      <c r="B378" s="61"/>
      <c r="C378" s="67" t="str">
        <f>IF(B378="","",IFERROR(INDEX(Carteira!$B$5:$B$204,MATCH(B378,Carteira!$A$5:$A$204,0)),"Obra não cadastrada"))</f>
        <v/>
      </c>
      <c r="D378" s="62"/>
      <c r="E378" s="62"/>
      <c r="F378" s="63"/>
    </row>
    <row r="379" spans="1:6" x14ac:dyDescent="0.3">
      <c r="A379" s="64"/>
      <c r="B379" s="61"/>
      <c r="C379" s="67" t="str">
        <f>IF(B379="","",IFERROR(INDEX(Carteira!$B$5:$B$204,MATCH(B379,Carteira!$A$5:$A$204,0)),"Obra não cadastrada"))</f>
        <v/>
      </c>
      <c r="D379" s="62"/>
      <c r="E379" s="62"/>
      <c r="F379" s="63"/>
    </row>
    <row r="380" spans="1:6" x14ac:dyDescent="0.3">
      <c r="A380" s="64"/>
      <c r="B380" s="61"/>
      <c r="C380" s="67" t="str">
        <f>IF(B380="","",IFERROR(INDEX(Carteira!$B$5:$B$204,MATCH(B380,Carteira!$A$5:$A$204,0)),"Obra não cadastrada"))</f>
        <v/>
      </c>
      <c r="D380" s="62"/>
      <c r="E380" s="62"/>
      <c r="F380" s="63"/>
    </row>
    <row r="381" spans="1:6" x14ac:dyDescent="0.3">
      <c r="A381" s="64"/>
      <c r="B381" s="61"/>
      <c r="C381" s="67" t="str">
        <f>IF(B381="","",IFERROR(INDEX(Carteira!$B$5:$B$204,MATCH(B381,Carteira!$A$5:$A$204,0)),"Obra não cadastrada"))</f>
        <v/>
      </c>
      <c r="D381" s="62"/>
      <c r="E381" s="62"/>
      <c r="F381" s="63"/>
    </row>
    <row r="382" spans="1:6" x14ac:dyDescent="0.3">
      <c r="A382" s="64"/>
      <c r="B382" s="61"/>
      <c r="C382" s="67" t="str">
        <f>IF(B382="","",IFERROR(INDEX(Carteira!$B$5:$B$204,MATCH(B382,Carteira!$A$5:$A$204,0)),"Obra não cadastrada"))</f>
        <v/>
      </c>
      <c r="D382" s="62"/>
      <c r="E382" s="62"/>
      <c r="F382" s="63"/>
    </row>
    <row r="383" spans="1:6" x14ac:dyDescent="0.3">
      <c r="A383" s="64"/>
      <c r="B383" s="61"/>
      <c r="C383" s="67" t="str">
        <f>IF(B383="","",IFERROR(INDEX(Carteira!$B$5:$B$204,MATCH(B383,Carteira!$A$5:$A$204,0)),"Obra não cadastrada"))</f>
        <v/>
      </c>
      <c r="D383" s="62"/>
      <c r="E383" s="62"/>
      <c r="F383" s="63"/>
    </row>
    <row r="384" spans="1:6" x14ac:dyDescent="0.3">
      <c r="A384" s="64"/>
      <c r="B384" s="61"/>
      <c r="C384" s="67" t="str">
        <f>IF(B384="","",IFERROR(INDEX(Carteira!$B$5:$B$204,MATCH(B384,Carteira!$A$5:$A$204,0)),"Obra não cadastrada"))</f>
        <v/>
      </c>
      <c r="D384" s="62"/>
      <c r="E384" s="62"/>
      <c r="F384" s="63"/>
    </row>
    <row r="385" spans="1:6" x14ac:dyDescent="0.3">
      <c r="A385" s="64"/>
      <c r="B385" s="61"/>
      <c r="C385" s="67" t="str">
        <f>IF(B385="","",IFERROR(INDEX(Carteira!$B$5:$B$204,MATCH(B385,Carteira!$A$5:$A$204,0)),"Obra não cadastrada"))</f>
        <v/>
      </c>
      <c r="D385" s="62"/>
      <c r="E385" s="62"/>
      <c r="F385" s="63"/>
    </row>
    <row r="386" spans="1:6" x14ac:dyDescent="0.3">
      <c r="A386" s="64"/>
      <c r="B386" s="61"/>
      <c r="C386" s="67" t="str">
        <f>IF(B386="","",IFERROR(INDEX(Carteira!$B$5:$B$204,MATCH(B386,Carteira!$A$5:$A$204,0)),"Obra não cadastrada"))</f>
        <v/>
      </c>
      <c r="D386" s="62"/>
      <c r="E386" s="62"/>
      <c r="F386" s="63"/>
    </row>
    <row r="387" spans="1:6" x14ac:dyDescent="0.3">
      <c r="A387" s="64"/>
      <c r="B387" s="61"/>
      <c r="C387" s="67" t="str">
        <f>IF(B387="","",IFERROR(INDEX(Carteira!$B$5:$B$204,MATCH(B387,Carteira!$A$5:$A$204,0)),"Obra não cadastrada"))</f>
        <v/>
      </c>
      <c r="D387" s="62"/>
      <c r="E387" s="62"/>
      <c r="F387" s="63"/>
    </row>
    <row r="388" spans="1:6" x14ac:dyDescent="0.3">
      <c r="A388" s="64"/>
      <c r="B388" s="61"/>
      <c r="C388" s="67" t="str">
        <f>IF(B388="","",IFERROR(INDEX(Carteira!$B$5:$B$204,MATCH(B388,Carteira!$A$5:$A$204,0)),"Obra não cadastrada"))</f>
        <v/>
      </c>
      <c r="D388" s="62"/>
      <c r="E388" s="62"/>
      <c r="F388" s="63"/>
    </row>
    <row r="389" spans="1:6" x14ac:dyDescent="0.3">
      <c r="A389" s="64"/>
      <c r="B389" s="61"/>
      <c r="C389" s="67" t="str">
        <f>IF(B389="","",IFERROR(INDEX(Carteira!$B$5:$B$204,MATCH(B389,Carteira!$A$5:$A$204,0)),"Obra não cadastrada"))</f>
        <v/>
      </c>
      <c r="D389" s="62"/>
      <c r="E389" s="62"/>
      <c r="F389" s="63"/>
    </row>
    <row r="390" spans="1:6" x14ac:dyDescent="0.3">
      <c r="A390" s="64"/>
      <c r="B390" s="61"/>
      <c r="C390" s="67" t="str">
        <f>IF(B390="","",IFERROR(INDEX(Carteira!$B$5:$B$204,MATCH(B390,Carteira!$A$5:$A$204,0)),"Obra não cadastrada"))</f>
        <v/>
      </c>
      <c r="D390" s="62"/>
      <c r="E390" s="62"/>
      <c r="F390" s="63"/>
    </row>
    <row r="391" spans="1:6" x14ac:dyDescent="0.3">
      <c r="A391" s="64"/>
      <c r="B391" s="61"/>
      <c r="C391" s="67" t="str">
        <f>IF(B391="","",IFERROR(INDEX(Carteira!$B$5:$B$204,MATCH(B391,Carteira!$A$5:$A$204,0)),"Obra não cadastrada"))</f>
        <v/>
      </c>
      <c r="D391" s="62"/>
      <c r="E391" s="62"/>
      <c r="F391" s="63"/>
    </row>
    <row r="392" spans="1:6" x14ac:dyDescent="0.3">
      <c r="A392" s="64"/>
      <c r="B392" s="61"/>
      <c r="C392" s="67" t="str">
        <f>IF(B392="","",IFERROR(INDEX(Carteira!$B$5:$B$204,MATCH(B392,Carteira!$A$5:$A$204,0)),"Obra não cadastrada"))</f>
        <v/>
      </c>
      <c r="D392" s="62"/>
      <c r="E392" s="62"/>
      <c r="F392" s="63"/>
    </row>
    <row r="393" spans="1:6" x14ac:dyDescent="0.3">
      <c r="A393" s="64"/>
      <c r="B393" s="61"/>
      <c r="C393" s="67" t="str">
        <f>IF(B393="","",IFERROR(INDEX(Carteira!$B$5:$B$204,MATCH(B393,Carteira!$A$5:$A$204,0)),"Obra não cadastrada"))</f>
        <v/>
      </c>
      <c r="D393" s="62"/>
      <c r="E393" s="62"/>
      <c r="F393" s="63"/>
    </row>
    <row r="394" spans="1:6" x14ac:dyDescent="0.3">
      <c r="A394" s="64"/>
      <c r="B394" s="61"/>
      <c r="C394" s="67" t="str">
        <f>IF(B394="","",IFERROR(INDEX(Carteira!$B$5:$B$204,MATCH(B394,Carteira!$A$5:$A$204,0)),"Obra não cadastrada"))</f>
        <v/>
      </c>
      <c r="D394" s="62"/>
      <c r="E394" s="62"/>
      <c r="F394" s="63"/>
    </row>
    <row r="395" spans="1:6" x14ac:dyDescent="0.3">
      <c r="A395" s="64"/>
      <c r="B395" s="61"/>
      <c r="C395" s="67" t="str">
        <f>IF(B395="","",IFERROR(INDEX(Carteira!$B$5:$B$204,MATCH(B395,Carteira!$A$5:$A$204,0)),"Obra não cadastrada"))</f>
        <v/>
      </c>
      <c r="D395" s="62"/>
      <c r="E395" s="62"/>
      <c r="F395" s="63"/>
    </row>
    <row r="396" spans="1:6" x14ac:dyDescent="0.3">
      <c r="A396" s="64"/>
      <c r="B396" s="61"/>
      <c r="C396" s="67" t="str">
        <f>IF(B396="","",IFERROR(INDEX(Carteira!$B$5:$B$204,MATCH(B396,Carteira!$A$5:$A$204,0)),"Obra não cadastrada"))</f>
        <v/>
      </c>
      <c r="D396" s="62"/>
      <c r="E396" s="62"/>
      <c r="F396" s="63"/>
    </row>
    <row r="397" spans="1:6" x14ac:dyDescent="0.3">
      <c r="A397" s="64"/>
      <c r="B397" s="61"/>
      <c r="C397" s="67" t="str">
        <f>IF(B397="","",IFERROR(INDEX(Carteira!$B$5:$B$204,MATCH(B397,Carteira!$A$5:$A$204,0)),"Obra não cadastrada"))</f>
        <v/>
      </c>
      <c r="D397" s="62"/>
      <c r="E397" s="62"/>
      <c r="F397" s="63"/>
    </row>
    <row r="398" spans="1:6" x14ac:dyDescent="0.3">
      <c r="A398" s="64"/>
      <c r="B398" s="61"/>
      <c r="C398" s="67" t="str">
        <f>IF(B398="","",IFERROR(INDEX(Carteira!$B$5:$B$204,MATCH(B398,Carteira!$A$5:$A$204,0)),"Obra não cadastrada"))</f>
        <v/>
      </c>
      <c r="D398" s="62"/>
      <c r="E398" s="62"/>
      <c r="F398" s="63"/>
    </row>
    <row r="399" spans="1:6" x14ac:dyDescent="0.3">
      <c r="A399" s="64"/>
      <c r="B399" s="61"/>
      <c r="C399" s="67" t="str">
        <f>IF(B399="","",IFERROR(INDEX(Carteira!$B$5:$B$204,MATCH(B399,Carteira!$A$5:$A$204,0)),"Obra não cadastrada"))</f>
        <v/>
      </c>
      <c r="D399" s="62"/>
      <c r="E399" s="62"/>
      <c r="F399" s="63"/>
    </row>
    <row r="400" spans="1:6" x14ac:dyDescent="0.3">
      <c r="A400" s="64"/>
      <c r="B400" s="61"/>
      <c r="C400" s="67" t="str">
        <f>IF(B400="","",IFERROR(INDEX(Carteira!$B$5:$B$204,MATCH(B400,Carteira!$A$5:$A$204,0)),"Obra não cadastrada"))</f>
        <v/>
      </c>
      <c r="D400" s="62"/>
      <c r="E400" s="62"/>
      <c r="F400" s="63"/>
    </row>
    <row r="401" spans="1:6" x14ac:dyDescent="0.3">
      <c r="A401" s="64"/>
      <c r="B401" s="61"/>
      <c r="C401" s="67" t="str">
        <f>IF(B401="","",IFERROR(INDEX(Carteira!$B$5:$B$204,MATCH(B401,Carteira!$A$5:$A$204,0)),"Obra não cadastrada"))</f>
        <v/>
      </c>
      <c r="D401" s="62"/>
      <c r="E401" s="62"/>
      <c r="F401" s="63"/>
    </row>
    <row r="402" spans="1:6" x14ac:dyDescent="0.3">
      <c r="A402" s="64"/>
      <c r="B402" s="61"/>
      <c r="C402" s="67" t="str">
        <f>IF(B402="","",IFERROR(INDEX(Carteira!$B$5:$B$204,MATCH(B402,Carteira!$A$5:$A$204,0)),"Obra não cadastrada"))</f>
        <v/>
      </c>
      <c r="D402" s="62"/>
      <c r="E402" s="62"/>
      <c r="F402" s="63"/>
    </row>
    <row r="403" spans="1:6" x14ac:dyDescent="0.3">
      <c r="A403" s="64"/>
      <c r="B403" s="61"/>
      <c r="C403" s="67" t="str">
        <f>IF(B403="","",IFERROR(INDEX(Carteira!$B$5:$B$204,MATCH(B403,Carteira!$A$5:$A$204,0)),"Obra não cadastrada"))</f>
        <v/>
      </c>
      <c r="D403" s="62"/>
      <c r="E403" s="62"/>
      <c r="F403" s="63"/>
    </row>
    <row r="404" spans="1:6" x14ac:dyDescent="0.3">
      <c r="A404" s="64"/>
      <c r="B404" s="61"/>
      <c r="C404" s="67" t="str">
        <f>IF(B404="","",IFERROR(INDEX(Carteira!$B$5:$B$204,MATCH(B404,Carteira!$A$5:$A$204,0)),"Obra não cadastrada"))</f>
        <v/>
      </c>
      <c r="D404" s="62"/>
      <c r="E404" s="62"/>
      <c r="F404" s="63"/>
    </row>
    <row r="405" spans="1:6" x14ac:dyDescent="0.3">
      <c r="A405" s="64"/>
      <c r="B405" s="61"/>
      <c r="C405" s="67" t="str">
        <f>IF(B405="","",IFERROR(INDEX(Carteira!$B$5:$B$204,MATCH(B405,Carteira!$A$5:$A$204,0)),"Obra não cadastrada"))</f>
        <v/>
      </c>
      <c r="D405" s="62"/>
      <c r="E405" s="62"/>
      <c r="F405" s="63"/>
    </row>
    <row r="406" spans="1:6" x14ac:dyDescent="0.3">
      <c r="A406" s="64"/>
      <c r="B406" s="61"/>
      <c r="C406" s="67" t="str">
        <f>IF(B406="","",IFERROR(INDEX(Carteira!$B$5:$B$204,MATCH(B406,Carteira!$A$5:$A$204,0)),"Obra não cadastrada"))</f>
        <v/>
      </c>
      <c r="D406" s="62"/>
      <c r="E406" s="62"/>
      <c r="F406" s="63"/>
    </row>
    <row r="407" spans="1:6" x14ac:dyDescent="0.3">
      <c r="A407" s="64"/>
      <c r="B407" s="61"/>
      <c r="C407" s="67" t="str">
        <f>IF(B407="","",IFERROR(INDEX(Carteira!$B$5:$B$204,MATCH(B407,Carteira!$A$5:$A$204,0)),"Obra não cadastrada"))</f>
        <v/>
      </c>
      <c r="D407" s="62"/>
      <c r="E407" s="62"/>
      <c r="F407" s="63"/>
    </row>
    <row r="408" spans="1:6" x14ac:dyDescent="0.3">
      <c r="A408" s="64"/>
      <c r="B408" s="61"/>
      <c r="C408" s="67" t="str">
        <f>IF(B408="","",IFERROR(INDEX(Carteira!$B$5:$B$204,MATCH(B408,Carteira!$A$5:$A$204,0)),"Obra não cadastrada"))</f>
        <v/>
      </c>
      <c r="D408" s="62"/>
      <c r="E408" s="62"/>
      <c r="F408" s="63"/>
    </row>
    <row r="409" spans="1:6" x14ac:dyDescent="0.3">
      <c r="A409" s="64"/>
      <c r="B409" s="61"/>
      <c r="C409" s="67" t="str">
        <f>IF(B409="","",IFERROR(INDEX(Carteira!$B$5:$B$204,MATCH(B409,Carteira!$A$5:$A$204,0)),"Obra não cadastrada"))</f>
        <v/>
      </c>
      <c r="D409" s="62"/>
      <c r="E409" s="62"/>
      <c r="F409" s="63"/>
    </row>
    <row r="410" spans="1:6" x14ac:dyDescent="0.3">
      <c r="A410" s="64"/>
      <c r="B410" s="61"/>
      <c r="C410" s="67" t="str">
        <f>IF(B410="","",IFERROR(INDEX(Carteira!$B$5:$B$204,MATCH(B410,Carteira!$A$5:$A$204,0)),"Obra não cadastrada"))</f>
        <v/>
      </c>
      <c r="D410" s="62"/>
      <c r="E410" s="62"/>
      <c r="F410" s="63"/>
    </row>
    <row r="411" spans="1:6" x14ac:dyDescent="0.3">
      <c r="A411" s="64"/>
      <c r="B411" s="61"/>
      <c r="C411" s="67" t="str">
        <f>IF(B411="","",IFERROR(INDEX(Carteira!$B$5:$B$204,MATCH(B411,Carteira!$A$5:$A$204,0)),"Obra não cadastrada"))</f>
        <v/>
      </c>
      <c r="D411" s="62"/>
      <c r="E411" s="62"/>
      <c r="F411" s="63"/>
    </row>
    <row r="412" spans="1:6" x14ac:dyDescent="0.3">
      <c r="A412" s="64"/>
      <c r="B412" s="61"/>
      <c r="C412" s="67" t="str">
        <f>IF(B412="","",IFERROR(INDEX(Carteira!$B$5:$B$204,MATCH(B412,Carteira!$A$5:$A$204,0)),"Obra não cadastrada"))</f>
        <v/>
      </c>
      <c r="D412" s="62"/>
      <c r="E412" s="62"/>
      <c r="F412" s="63"/>
    </row>
    <row r="413" spans="1:6" x14ac:dyDescent="0.3">
      <c r="A413" s="64"/>
      <c r="B413" s="61"/>
      <c r="C413" s="67" t="str">
        <f>IF(B413="","",IFERROR(INDEX(Carteira!$B$5:$B$204,MATCH(B413,Carteira!$A$5:$A$204,0)),"Obra não cadastrada"))</f>
        <v/>
      </c>
      <c r="D413" s="62"/>
      <c r="E413" s="62"/>
      <c r="F413" s="63"/>
    </row>
    <row r="414" spans="1:6" x14ac:dyDescent="0.3">
      <c r="A414" s="64"/>
      <c r="B414" s="61"/>
      <c r="C414" s="67" t="str">
        <f>IF(B414="","",IFERROR(INDEX(Carteira!$B$5:$B$204,MATCH(B414,Carteira!$A$5:$A$204,0)),"Obra não cadastrada"))</f>
        <v/>
      </c>
      <c r="D414" s="62"/>
      <c r="E414" s="62"/>
      <c r="F414" s="63"/>
    </row>
    <row r="415" spans="1:6" x14ac:dyDescent="0.3">
      <c r="A415" s="64"/>
      <c r="B415" s="61"/>
      <c r="C415" s="67" t="str">
        <f>IF(B415="","",IFERROR(INDEX(Carteira!$B$5:$B$204,MATCH(B415,Carteira!$A$5:$A$204,0)),"Obra não cadastrada"))</f>
        <v/>
      </c>
      <c r="D415" s="62"/>
      <c r="E415" s="62"/>
      <c r="F415" s="63"/>
    </row>
    <row r="416" spans="1:6" x14ac:dyDescent="0.3">
      <c r="A416" s="64"/>
      <c r="B416" s="61"/>
      <c r="C416" s="67" t="str">
        <f>IF(B416="","",IFERROR(INDEX(Carteira!$B$5:$B$204,MATCH(B416,Carteira!$A$5:$A$204,0)),"Obra não cadastrada"))</f>
        <v/>
      </c>
      <c r="D416" s="62"/>
      <c r="E416" s="62"/>
      <c r="F416" s="63"/>
    </row>
    <row r="417" spans="1:6" x14ac:dyDescent="0.3">
      <c r="A417" s="64"/>
      <c r="B417" s="61"/>
      <c r="C417" s="67" t="str">
        <f>IF(B417="","",IFERROR(INDEX(Carteira!$B$5:$B$204,MATCH(B417,Carteira!$A$5:$A$204,0)),"Obra não cadastrada"))</f>
        <v/>
      </c>
      <c r="D417" s="62"/>
      <c r="E417" s="62"/>
      <c r="F417" s="63"/>
    </row>
    <row r="418" spans="1:6" x14ac:dyDescent="0.3">
      <c r="A418" s="64"/>
      <c r="B418" s="61"/>
      <c r="C418" s="67" t="str">
        <f>IF(B418="","",IFERROR(INDEX(Carteira!$B$5:$B$204,MATCH(B418,Carteira!$A$5:$A$204,0)),"Obra não cadastrada"))</f>
        <v/>
      </c>
      <c r="D418" s="62"/>
      <c r="E418" s="62"/>
      <c r="F418" s="63"/>
    </row>
    <row r="419" spans="1:6" x14ac:dyDescent="0.3">
      <c r="A419" s="64"/>
      <c r="B419" s="61"/>
      <c r="C419" s="67" t="str">
        <f>IF(B419="","",IFERROR(INDEX(Carteira!$B$5:$B$204,MATCH(B419,Carteira!$A$5:$A$204,0)),"Obra não cadastrada"))</f>
        <v/>
      </c>
      <c r="D419" s="62"/>
      <c r="E419" s="62"/>
      <c r="F419" s="63"/>
    </row>
    <row r="420" spans="1:6" x14ac:dyDescent="0.3">
      <c r="A420" s="64"/>
      <c r="B420" s="61"/>
      <c r="C420" s="67" t="str">
        <f>IF(B420="","",IFERROR(INDEX(Carteira!$B$5:$B$204,MATCH(B420,Carteira!$A$5:$A$204,0)),"Obra não cadastrada"))</f>
        <v/>
      </c>
      <c r="D420" s="62"/>
      <c r="E420" s="62"/>
      <c r="F420" s="63"/>
    </row>
    <row r="421" spans="1:6" x14ac:dyDescent="0.3">
      <c r="A421" s="64"/>
      <c r="B421" s="61"/>
      <c r="C421" s="67" t="str">
        <f>IF(B421="","",IFERROR(INDEX(Carteira!$B$5:$B$204,MATCH(B421,Carteira!$A$5:$A$204,0)),"Obra não cadastrada"))</f>
        <v/>
      </c>
      <c r="D421" s="62"/>
      <c r="E421" s="62"/>
      <c r="F421" s="63"/>
    </row>
    <row r="422" spans="1:6" x14ac:dyDescent="0.3">
      <c r="A422" s="64"/>
      <c r="B422" s="61"/>
      <c r="C422" s="67" t="str">
        <f>IF(B422="","",IFERROR(INDEX(Carteira!$B$5:$B$204,MATCH(B422,Carteira!$A$5:$A$204,0)),"Obra não cadastrada"))</f>
        <v/>
      </c>
      <c r="D422" s="62"/>
      <c r="E422" s="62"/>
      <c r="F422" s="63"/>
    </row>
    <row r="423" spans="1:6" x14ac:dyDescent="0.3">
      <c r="A423" s="64"/>
      <c r="B423" s="61"/>
      <c r="C423" s="67" t="str">
        <f>IF(B423="","",IFERROR(INDEX(Carteira!$B$5:$B$204,MATCH(B423,Carteira!$A$5:$A$204,0)),"Obra não cadastrada"))</f>
        <v/>
      </c>
      <c r="D423" s="62"/>
      <c r="E423" s="62"/>
      <c r="F423" s="63"/>
    </row>
    <row r="424" spans="1:6" x14ac:dyDescent="0.3">
      <c r="A424" s="64"/>
      <c r="B424" s="61"/>
      <c r="C424" s="67" t="str">
        <f>IF(B424="","",IFERROR(INDEX(Carteira!$B$5:$B$204,MATCH(B424,Carteira!$A$5:$A$204,0)),"Obra não cadastrada"))</f>
        <v/>
      </c>
      <c r="D424" s="62"/>
      <c r="E424" s="62"/>
      <c r="F424" s="63"/>
    </row>
    <row r="425" spans="1:6" x14ac:dyDescent="0.3">
      <c r="A425" s="64"/>
      <c r="B425" s="61"/>
      <c r="C425" s="67" t="str">
        <f>IF(B425="","",IFERROR(INDEX(Carteira!$B$5:$B$204,MATCH(B425,Carteira!$A$5:$A$204,0)),"Obra não cadastrada"))</f>
        <v/>
      </c>
      <c r="D425" s="62"/>
      <c r="E425" s="62"/>
      <c r="F425" s="63"/>
    </row>
    <row r="426" spans="1:6" x14ac:dyDescent="0.3">
      <c r="A426" s="64"/>
      <c r="B426" s="61"/>
      <c r="C426" s="67" t="str">
        <f>IF(B426="","",IFERROR(INDEX(Carteira!$B$5:$B$204,MATCH(B426,Carteira!$A$5:$A$204,0)),"Obra não cadastrada"))</f>
        <v/>
      </c>
      <c r="D426" s="62"/>
      <c r="E426" s="62"/>
      <c r="F426" s="63"/>
    </row>
    <row r="427" spans="1:6" x14ac:dyDescent="0.3">
      <c r="A427" s="64"/>
      <c r="B427" s="61"/>
      <c r="C427" s="67" t="str">
        <f>IF(B427="","",IFERROR(INDEX(Carteira!$B$5:$B$204,MATCH(B427,Carteira!$A$5:$A$204,0)),"Obra não cadastrada"))</f>
        <v/>
      </c>
      <c r="D427" s="62"/>
      <c r="E427" s="62"/>
      <c r="F427" s="63"/>
    </row>
    <row r="428" spans="1:6" x14ac:dyDescent="0.3">
      <c r="A428" s="64"/>
      <c r="B428" s="61"/>
      <c r="C428" s="67" t="str">
        <f>IF(B428="","",IFERROR(INDEX(Carteira!$B$5:$B$204,MATCH(B428,Carteira!$A$5:$A$204,0)),"Obra não cadastrada"))</f>
        <v/>
      </c>
      <c r="D428" s="62"/>
      <c r="E428" s="62"/>
      <c r="F428" s="63"/>
    </row>
    <row r="429" spans="1:6" x14ac:dyDescent="0.3">
      <c r="A429" s="64"/>
      <c r="B429" s="61"/>
      <c r="C429" s="67" t="str">
        <f>IF(B429="","",IFERROR(INDEX(Carteira!$B$5:$B$204,MATCH(B429,Carteira!$A$5:$A$204,0)),"Obra não cadastrada"))</f>
        <v/>
      </c>
      <c r="D429" s="62"/>
      <c r="E429" s="62"/>
      <c r="F429" s="63"/>
    </row>
    <row r="430" spans="1:6" x14ac:dyDescent="0.3">
      <c r="A430" s="64"/>
      <c r="B430" s="61"/>
      <c r="C430" s="67" t="str">
        <f>IF(B430="","",IFERROR(INDEX(Carteira!$B$5:$B$204,MATCH(B430,Carteira!$A$5:$A$204,0)),"Obra não cadastrada"))</f>
        <v/>
      </c>
      <c r="D430" s="62"/>
      <c r="E430" s="62"/>
      <c r="F430" s="63"/>
    </row>
    <row r="431" spans="1:6" x14ac:dyDescent="0.3">
      <c r="A431" s="64"/>
      <c r="B431" s="61"/>
      <c r="C431" s="67" t="str">
        <f>IF(B431="","",IFERROR(INDEX(Carteira!$B$5:$B$204,MATCH(B431,Carteira!$A$5:$A$204,0)),"Obra não cadastrada"))</f>
        <v/>
      </c>
      <c r="D431" s="62"/>
      <c r="E431" s="62"/>
      <c r="F431" s="63"/>
    </row>
    <row r="432" spans="1:6" x14ac:dyDescent="0.3">
      <c r="A432" s="64"/>
      <c r="B432" s="61"/>
      <c r="C432" s="67" t="str">
        <f>IF(B432="","",IFERROR(INDEX(Carteira!$B$5:$B$204,MATCH(B432,Carteira!$A$5:$A$204,0)),"Obra não cadastrada"))</f>
        <v/>
      </c>
      <c r="D432" s="62"/>
      <c r="E432" s="62"/>
      <c r="F432" s="63"/>
    </row>
    <row r="433" spans="1:6" x14ac:dyDescent="0.3">
      <c r="A433" s="64"/>
      <c r="B433" s="61"/>
      <c r="C433" s="67" t="str">
        <f>IF(B433="","",IFERROR(INDEX(Carteira!$B$5:$B$204,MATCH(B433,Carteira!$A$5:$A$204,0)),"Obra não cadastrada"))</f>
        <v/>
      </c>
      <c r="D433" s="62"/>
      <c r="E433" s="62"/>
      <c r="F433" s="63"/>
    </row>
    <row r="434" spans="1:6" x14ac:dyDescent="0.3">
      <c r="A434" s="64"/>
      <c r="B434" s="61"/>
      <c r="C434" s="67" t="str">
        <f>IF(B434="","",IFERROR(INDEX(Carteira!$B$5:$B$204,MATCH(B434,Carteira!$A$5:$A$204,0)),"Obra não cadastrada"))</f>
        <v/>
      </c>
      <c r="D434" s="62"/>
      <c r="E434" s="62"/>
      <c r="F434" s="63"/>
    </row>
    <row r="435" spans="1:6" x14ac:dyDescent="0.3">
      <c r="A435" s="64"/>
      <c r="B435" s="61"/>
      <c r="C435" s="67" t="str">
        <f>IF(B435="","",IFERROR(INDEX(Carteira!$B$5:$B$204,MATCH(B435,Carteira!$A$5:$A$204,0)),"Obra não cadastrada"))</f>
        <v/>
      </c>
      <c r="D435" s="62"/>
      <c r="E435" s="62"/>
      <c r="F435" s="63"/>
    </row>
    <row r="436" spans="1:6" x14ac:dyDescent="0.3">
      <c r="A436" s="64"/>
      <c r="B436" s="61"/>
      <c r="C436" s="67" t="str">
        <f>IF(B436="","",IFERROR(INDEX(Carteira!$B$5:$B$204,MATCH(B436,Carteira!$A$5:$A$204,0)),"Obra não cadastrada"))</f>
        <v/>
      </c>
      <c r="D436" s="62"/>
      <c r="E436" s="62"/>
      <c r="F436" s="63"/>
    </row>
    <row r="437" spans="1:6" x14ac:dyDescent="0.3">
      <c r="A437" s="64"/>
      <c r="B437" s="61"/>
      <c r="C437" s="67" t="str">
        <f>IF(B437="","",IFERROR(INDEX(Carteira!$B$5:$B$204,MATCH(B437,Carteira!$A$5:$A$204,0)),"Obra não cadastrada"))</f>
        <v/>
      </c>
      <c r="D437" s="62"/>
      <c r="E437" s="62"/>
      <c r="F437" s="63"/>
    </row>
    <row r="438" spans="1:6" x14ac:dyDescent="0.3">
      <c r="A438" s="64"/>
      <c r="B438" s="61"/>
      <c r="C438" s="67" t="str">
        <f>IF(B438="","",IFERROR(INDEX(Carteira!$B$5:$B$204,MATCH(B438,Carteira!$A$5:$A$204,0)),"Obra não cadastrada"))</f>
        <v/>
      </c>
      <c r="D438" s="62"/>
      <c r="E438" s="62"/>
      <c r="F438" s="63"/>
    </row>
    <row r="439" spans="1:6" x14ac:dyDescent="0.3">
      <c r="A439" s="64"/>
      <c r="B439" s="61"/>
      <c r="C439" s="67" t="str">
        <f>IF(B439="","",IFERROR(INDEX(Carteira!$B$5:$B$204,MATCH(B439,Carteira!$A$5:$A$204,0)),"Obra não cadastrada"))</f>
        <v/>
      </c>
      <c r="D439" s="62"/>
      <c r="E439" s="62"/>
      <c r="F439" s="63"/>
    </row>
    <row r="440" spans="1:6" x14ac:dyDescent="0.3">
      <c r="A440" s="64"/>
      <c r="B440" s="61"/>
      <c r="C440" s="67" t="str">
        <f>IF(B440="","",IFERROR(INDEX(Carteira!$B$5:$B$204,MATCH(B440,Carteira!$A$5:$A$204,0)),"Obra não cadastrada"))</f>
        <v/>
      </c>
      <c r="D440" s="62"/>
      <c r="E440" s="62"/>
      <c r="F440" s="63"/>
    </row>
    <row r="441" spans="1:6" x14ac:dyDescent="0.3">
      <c r="A441" s="64"/>
      <c r="B441" s="61"/>
      <c r="C441" s="67" t="str">
        <f>IF(B441="","",IFERROR(INDEX(Carteira!$B$5:$B$204,MATCH(B441,Carteira!$A$5:$A$204,0)),"Obra não cadastrada"))</f>
        <v/>
      </c>
      <c r="D441" s="62"/>
      <c r="E441" s="62"/>
      <c r="F441" s="63"/>
    </row>
    <row r="442" spans="1:6" x14ac:dyDescent="0.3">
      <c r="A442" s="64"/>
      <c r="B442" s="61"/>
      <c r="C442" s="67" t="str">
        <f>IF(B442="","",IFERROR(INDEX(Carteira!$B$5:$B$204,MATCH(B442,Carteira!$A$5:$A$204,0)),"Obra não cadastrada"))</f>
        <v/>
      </c>
      <c r="D442" s="62"/>
      <c r="E442" s="62"/>
      <c r="F442" s="63"/>
    </row>
    <row r="443" spans="1:6" x14ac:dyDescent="0.3">
      <c r="A443" s="64"/>
      <c r="B443" s="61"/>
      <c r="C443" s="67" t="str">
        <f>IF(B443="","",IFERROR(INDEX(Carteira!$B$5:$B$204,MATCH(B443,Carteira!$A$5:$A$204,0)),"Obra não cadastrada"))</f>
        <v/>
      </c>
      <c r="D443" s="62"/>
      <c r="E443" s="62"/>
      <c r="F443" s="63"/>
    </row>
    <row r="444" spans="1:6" x14ac:dyDescent="0.3">
      <c r="A444" s="64"/>
      <c r="B444" s="61"/>
      <c r="C444" s="67" t="str">
        <f>IF(B444="","",IFERROR(INDEX(Carteira!$B$5:$B$204,MATCH(B444,Carteira!$A$5:$A$204,0)),"Obra não cadastrada"))</f>
        <v/>
      </c>
      <c r="D444" s="62"/>
      <c r="E444" s="62"/>
      <c r="F444" s="63"/>
    </row>
    <row r="445" spans="1:6" x14ac:dyDescent="0.3">
      <c r="A445" s="64"/>
      <c r="B445" s="61"/>
      <c r="C445" s="67" t="str">
        <f>IF(B445="","",IFERROR(INDEX(Carteira!$B$5:$B$204,MATCH(B445,Carteira!$A$5:$A$204,0)),"Obra não cadastrada"))</f>
        <v/>
      </c>
      <c r="D445" s="62"/>
      <c r="E445" s="62"/>
      <c r="F445" s="63"/>
    </row>
    <row r="446" spans="1:6" x14ac:dyDescent="0.3">
      <c r="A446" s="64"/>
      <c r="B446" s="61"/>
      <c r="C446" s="67" t="str">
        <f>IF(B446="","",IFERROR(INDEX(Carteira!$B$5:$B$204,MATCH(B446,Carteira!$A$5:$A$204,0)),"Obra não cadastrada"))</f>
        <v/>
      </c>
      <c r="D446" s="62"/>
      <c r="E446" s="62"/>
      <c r="F446" s="63"/>
    </row>
    <row r="447" spans="1:6" x14ac:dyDescent="0.3">
      <c r="A447" s="64"/>
      <c r="B447" s="61"/>
      <c r="C447" s="67" t="str">
        <f>IF(B447="","",IFERROR(INDEX(Carteira!$B$5:$B$204,MATCH(B447,Carteira!$A$5:$A$204,0)),"Obra não cadastrada"))</f>
        <v/>
      </c>
      <c r="D447" s="62"/>
      <c r="E447" s="62"/>
      <c r="F447" s="63"/>
    </row>
    <row r="448" spans="1:6" x14ac:dyDescent="0.3">
      <c r="A448" s="64"/>
      <c r="B448" s="61"/>
      <c r="C448" s="67" t="str">
        <f>IF(B448="","",IFERROR(INDEX(Carteira!$B$5:$B$204,MATCH(B448,Carteira!$A$5:$A$204,0)),"Obra não cadastrada"))</f>
        <v/>
      </c>
      <c r="D448" s="62"/>
      <c r="E448" s="62"/>
      <c r="F448" s="63"/>
    </row>
    <row r="449" spans="1:6" x14ac:dyDescent="0.3">
      <c r="A449" s="64"/>
      <c r="B449" s="61"/>
      <c r="C449" s="67" t="str">
        <f>IF(B449="","",IFERROR(INDEX(Carteira!$B$5:$B$204,MATCH(B449,Carteira!$A$5:$A$204,0)),"Obra não cadastrada"))</f>
        <v/>
      </c>
      <c r="D449" s="62"/>
      <c r="E449" s="62"/>
      <c r="F449" s="63"/>
    </row>
    <row r="450" spans="1:6" x14ac:dyDescent="0.3">
      <c r="A450" s="64"/>
      <c r="B450" s="61"/>
      <c r="C450" s="67" t="str">
        <f>IF(B450="","",IFERROR(INDEX(Carteira!$B$5:$B$204,MATCH(B450,Carteira!$A$5:$A$204,0)),"Obra não cadastrada"))</f>
        <v/>
      </c>
      <c r="D450" s="62"/>
      <c r="E450" s="62"/>
      <c r="F450" s="63"/>
    </row>
    <row r="451" spans="1:6" x14ac:dyDescent="0.3">
      <c r="A451" s="64"/>
      <c r="B451" s="61"/>
      <c r="C451" s="67" t="str">
        <f>IF(B451="","",IFERROR(INDEX(Carteira!$B$5:$B$204,MATCH(B451,Carteira!$A$5:$A$204,0)),"Obra não cadastrada"))</f>
        <v/>
      </c>
      <c r="D451" s="62"/>
      <c r="E451" s="62"/>
      <c r="F451" s="63"/>
    </row>
    <row r="452" spans="1:6" x14ac:dyDescent="0.3">
      <c r="A452" s="64"/>
      <c r="B452" s="61"/>
      <c r="C452" s="67" t="str">
        <f>IF(B452="","",IFERROR(INDEX(Carteira!$B$5:$B$204,MATCH(B452,Carteira!$A$5:$A$204,0)),"Obra não cadastrada"))</f>
        <v/>
      </c>
      <c r="D452" s="62"/>
      <c r="E452" s="62"/>
      <c r="F452" s="63"/>
    </row>
    <row r="453" spans="1:6" x14ac:dyDescent="0.3">
      <c r="A453" s="64"/>
      <c r="B453" s="61"/>
      <c r="C453" s="67" t="str">
        <f>IF(B453="","",IFERROR(INDEX(Carteira!$B$5:$B$204,MATCH(B453,Carteira!$A$5:$A$204,0)),"Obra não cadastrada"))</f>
        <v/>
      </c>
      <c r="D453" s="62"/>
      <c r="E453" s="62"/>
      <c r="F453" s="63"/>
    </row>
    <row r="454" spans="1:6" x14ac:dyDescent="0.3">
      <c r="A454" s="64"/>
      <c r="B454" s="61"/>
      <c r="C454" s="67" t="str">
        <f>IF(B454="","",IFERROR(INDEX(Carteira!$B$5:$B$204,MATCH(B454,Carteira!$A$5:$A$204,0)),"Obra não cadastrada"))</f>
        <v/>
      </c>
      <c r="D454" s="62"/>
      <c r="E454" s="62"/>
      <c r="F454" s="63"/>
    </row>
    <row r="455" spans="1:6" x14ac:dyDescent="0.3">
      <c r="A455" s="64"/>
      <c r="B455" s="61"/>
      <c r="C455" s="67" t="str">
        <f>IF(B455="","",IFERROR(INDEX(Carteira!$B$5:$B$204,MATCH(B455,Carteira!$A$5:$A$204,0)),"Obra não cadastrada"))</f>
        <v/>
      </c>
      <c r="D455" s="62"/>
      <c r="E455" s="62"/>
      <c r="F455" s="63"/>
    </row>
    <row r="456" spans="1:6" x14ac:dyDescent="0.3">
      <c r="A456" s="64"/>
      <c r="B456" s="61"/>
      <c r="C456" s="67" t="str">
        <f>IF(B456="","",IFERROR(INDEX(Carteira!$B$5:$B$204,MATCH(B456,Carteira!$A$5:$A$204,0)),"Obra não cadastrada"))</f>
        <v/>
      </c>
      <c r="D456" s="62"/>
      <c r="E456" s="62"/>
      <c r="F456" s="63"/>
    </row>
    <row r="457" spans="1:6" x14ac:dyDescent="0.3">
      <c r="A457" s="64"/>
      <c r="B457" s="61"/>
      <c r="C457" s="67" t="str">
        <f>IF(B457="","",IFERROR(INDEX(Carteira!$B$5:$B$204,MATCH(B457,Carteira!$A$5:$A$204,0)),"Obra não cadastrada"))</f>
        <v/>
      </c>
      <c r="D457" s="62"/>
      <c r="E457" s="62"/>
      <c r="F457" s="63"/>
    </row>
    <row r="458" spans="1:6" x14ac:dyDescent="0.3">
      <c r="A458" s="64"/>
      <c r="B458" s="61"/>
      <c r="C458" s="67" t="str">
        <f>IF(B458="","",IFERROR(INDEX(Carteira!$B$5:$B$204,MATCH(B458,Carteira!$A$5:$A$204,0)),"Obra não cadastrada"))</f>
        <v/>
      </c>
      <c r="D458" s="62"/>
      <c r="E458" s="62"/>
      <c r="F458" s="63"/>
    </row>
    <row r="459" spans="1:6" x14ac:dyDescent="0.3">
      <c r="A459" s="64"/>
      <c r="B459" s="61"/>
      <c r="C459" s="67" t="str">
        <f>IF(B459="","",IFERROR(INDEX(Carteira!$B$5:$B$204,MATCH(B459,Carteira!$A$5:$A$204,0)),"Obra não cadastrada"))</f>
        <v/>
      </c>
      <c r="D459" s="62"/>
      <c r="E459" s="62"/>
      <c r="F459" s="63"/>
    </row>
    <row r="460" spans="1:6" x14ac:dyDescent="0.3">
      <c r="A460" s="64"/>
      <c r="B460" s="61"/>
      <c r="C460" s="67" t="str">
        <f>IF(B460="","",IFERROR(INDEX(Carteira!$B$5:$B$204,MATCH(B460,Carteira!$A$5:$A$204,0)),"Obra não cadastrada"))</f>
        <v/>
      </c>
      <c r="D460" s="62"/>
      <c r="E460" s="62"/>
      <c r="F460" s="63"/>
    </row>
    <row r="461" spans="1:6" x14ac:dyDescent="0.3">
      <c r="A461" s="64"/>
      <c r="B461" s="61"/>
      <c r="C461" s="67" t="str">
        <f>IF(B461="","",IFERROR(INDEX(Carteira!$B$5:$B$204,MATCH(B461,Carteira!$A$5:$A$204,0)),"Obra não cadastrada"))</f>
        <v/>
      </c>
      <c r="D461" s="62"/>
      <c r="E461" s="62"/>
      <c r="F461" s="63"/>
    </row>
    <row r="462" spans="1:6" x14ac:dyDescent="0.3">
      <c r="A462" s="64"/>
      <c r="B462" s="61"/>
      <c r="C462" s="67" t="str">
        <f>IF(B462="","",IFERROR(INDEX(Carteira!$B$5:$B$204,MATCH(B462,Carteira!$A$5:$A$204,0)),"Obra não cadastrada"))</f>
        <v/>
      </c>
      <c r="D462" s="62"/>
      <c r="E462" s="62"/>
      <c r="F462" s="63"/>
    </row>
    <row r="463" spans="1:6" x14ac:dyDescent="0.3">
      <c r="A463" s="64"/>
      <c r="B463" s="61"/>
      <c r="C463" s="67" t="str">
        <f>IF(B463="","",IFERROR(INDEX(Carteira!$B$5:$B$204,MATCH(B463,Carteira!$A$5:$A$204,0)),"Obra não cadastrada"))</f>
        <v/>
      </c>
      <c r="D463" s="62"/>
      <c r="E463" s="62"/>
      <c r="F463" s="63"/>
    </row>
    <row r="464" spans="1:6" x14ac:dyDescent="0.3">
      <c r="A464" s="64"/>
      <c r="B464" s="61"/>
      <c r="C464" s="67" t="str">
        <f>IF(B464="","",IFERROR(INDEX(Carteira!$B$5:$B$204,MATCH(B464,Carteira!$A$5:$A$204,0)),"Obra não cadastrada"))</f>
        <v/>
      </c>
      <c r="D464" s="62"/>
      <c r="E464" s="62"/>
      <c r="F464" s="63"/>
    </row>
    <row r="465" spans="1:6" x14ac:dyDescent="0.3">
      <c r="A465" s="64"/>
      <c r="B465" s="61"/>
      <c r="C465" s="67" t="str">
        <f>IF(B465="","",IFERROR(INDEX(Carteira!$B$5:$B$204,MATCH(B465,Carteira!$A$5:$A$204,0)),"Obra não cadastrada"))</f>
        <v/>
      </c>
      <c r="D465" s="62"/>
      <c r="E465" s="62"/>
      <c r="F465" s="63"/>
    </row>
    <row r="466" spans="1:6" x14ac:dyDescent="0.3">
      <c r="A466" s="64"/>
      <c r="B466" s="61"/>
      <c r="C466" s="67" t="str">
        <f>IF(B466="","",IFERROR(INDEX(Carteira!$B$5:$B$204,MATCH(B466,Carteira!$A$5:$A$204,0)),"Obra não cadastrada"))</f>
        <v/>
      </c>
      <c r="D466" s="62"/>
      <c r="E466" s="62"/>
      <c r="F466" s="63"/>
    </row>
    <row r="467" spans="1:6" x14ac:dyDescent="0.3">
      <c r="A467" s="64"/>
      <c r="B467" s="61"/>
      <c r="C467" s="67" t="str">
        <f>IF(B467="","",IFERROR(INDEX(Carteira!$B$5:$B$204,MATCH(B467,Carteira!$A$5:$A$204,0)),"Obra não cadastrada"))</f>
        <v/>
      </c>
      <c r="D467" s="62"/>
      <c r="E467" s="62"/>
      <c r="F467" s="63"/>
    </row>
    <row r="468" spans="1:6" x14ac:dyDescent="0.3">
      <c r="A468" s="64"/>
      <c r="B468" s="61"/>
      <c r="C468" s="67" t="str">
        <f>IF(B468="","",IFERROR(INDEX(Carteira!$B$5:$B$204,MATCH(B468,Carteira!$A$5:$A$204,0)),"Obra não cadastrada"))</f>
        <v/>
      </c>
      <c r="D468" s="62"/>
      <c r="E468" s="62"/>
      <c r="F468" s="63"/>
    </row>
    <row r="469" spans="1:6" x14ac:dyDescent="0.3">
      <c r="A469" s="64"/>
      <c r="B469" s="61"/>
      <c r="C469" s="67" t="str">
        <f>IF(B469="","",IFERROR(INDEX(Carteira!$B$5:$B$204,MATCH(B469,Carteira!$A$5:$A$204,0)),"Obra não cadastrada"))</f>
        <v/>
      </c>
      <c r="D469" s="62"/>
      <c r="E469" s="62"/>
      <c r="F469" s="63"/>
    </row>
    <row r="470" spans="1:6" x14ac:dyDescent="0.3">
      <c r="A470" s="64"/>
      <c r="B470" s="61"/>
      <c r="C470" s="67" t="str">
        <f>IF(B470="","",IFERROR(INDEX(Carteira!$B$5:$B$204,MATCH(B470,Carteira!$A$5:$A$204,0)),"Obra não cadastrada"))</f>
        <v/>
      </c>
      <c r="D470" s="62"/>
      <c r="E470" s="62"/>
      <c r="F470" s="63"/>
    </row>
    <row r="471" spans="1:6" x14ac:dyDescent="0.3">
      <c r="A471" s="64"/>
      <c r="B471" s="61"/>
      <c r="C471" s="67" t="str">
        <f>IF(B471="","",IFERROR(INDEX(Carteira!$B$5:$B$204,MATCH(B471,Carteira!$A$5:$A$204,0)),"Obra não cadastrada"))</f>
        <v/>
      </c>
      <c r="D471" s="62"/>
      <c r="E471" s="62"/>
      <c r="F471" s="63"/>
    </row>
    <row r="472" spans="1:6" x14ac:dyDescent="0.3">
      <c r="A472" s="64"/>
      <c r="B472" s="61"/>
      <c r="C472" s="67" t="str">
        <f>IF(B472="","",IFERROR(INDEX(Carteira!$B$5:$B$204,MATCH(B472,Carteira!$A$5:$A$204,0)),"Obra não cadastrada"))</f>
        <v/>
      </c>
      <c r="D472" s="62"/>
      <c r="E472" s="62"/>
      <c r="F472" s="63"/>
    </row>
    <row r="473" spans="1:6" x14ac:dyDescent="0.3">
      <c r="A473" s="64"/>
      <c r="B473" s="61"/>
      <c r="C473" s="67" t="str">
        <f>IF(B473="","",IFERROR(INDEX(Carteira!$B$5:$B$204,MATCH(B473,Carteira!$A$5:$A$204,0)),"Obra não cadastrada"))</f>
        <v/>
      </c>
      <c r="D473" s="62"/>
      <c r="E473" s="62"/>
      <c r="F473" s="63"/>
    </row>
    <row r="474" spans="1:6" x14ac:dyDescent="0.3">
      <c r="A474" s="64"/>
      <c r="B474" s="61"/>
      <c r="C474" s="67" t="str">
        <f>IF(B474="","",IFERROR(INDEX(Carteira!$B$5:$B$204,MATCH(B474,Carteira!$A$5:$A$204,0)),"Obra não cadastrada"))</f>
        <v/>
      </c>
      <c r="D474" s="62"/>
      <c r="E474" s="62"/>
      <c r="F474" s="63"/>
    </row>
    <row r="475" spans="1:6" x14ac:dyDescent="0.3">
      <c r="A475" s="64"/>
      <c r="B475" s="61"/>
      <c r="C475" s="67" t="str">
        <f>IF(B475="","",IFERROR(INDEX(Carteira!$B$5:$B$204,MATCH(B475,Carteira!$A$5:$A$204,0)),"Obra não cadastrada"))</f>
        <v/>
      </c>
      <c r="D475" s="62"/>
      <c r="E475" s="62"/>
      <c r="F475" s="63"/>
    </row>
    <row r="476" spans="1:6" x14ac:dyDescent="0.3">
      <c r="A476" s="64"/>
      <c r="B476" s="61"/>
      <c r="C476" s="67" t="str">
        <f>IF(B476="","",IFERROR(INDEX(Carteira!$B$5:$B$204,MATCH(B476,Carteira!$A$5:$A$204,0)),"Obra não cadastrada"))</f>
        <v/>
      </c>
      <c r="D476" s="62"/>
      <c r="E476" s="62"/>
      <c r="F476" s="63"/>
    </row>
    <row r="477" spans="1:6" x14ac:dyDescent="0.3">
      <c r="A477" s="64"/>
      <c r="B477" s="61"/>
      <c r="C477" s="67" t="str">
        <f>IF(B477="","",IFERROR(INDEX(Carteira!$B$5:$B$204,MATCH(B477,Carteira!$A$5:$A$204,0)),"Obra não cadastrada"))</f>
        <v/>
      </c>
      <c r="D477" s="62"/>
      <c r="E477" s="62"/>
      <c r="F477" s="63"/>
    </row>
    <row r="478" spans="1:6" x14ac:dyDescent="0.3">
      <c r="A478" s="64"/>
      <c r="B478" s="61"/>
      <c r="C478" s="67" t="str">
        <f>IF(B478="","",IFERROR(INDEX(Carteira!$B$5:$B$204,MATCH(B478,Carteira!$A$5:$A$204,0)),"Obra não cadastrada"))</f>
        <v/>
      </c>
      <c r="D478" s="62"/>
      <c r="E478" s="62"/>
      <c r="F478" s="63"/>
    </row>
    <row r="479" spans="1:6" x14ac:dyDescent="0.3">
      <c r="A479" s="64"/>
      <c r="B479" s="61"/>
      <c r="C479" s="67" t="str">
        <f>IF(B479="","",IFERROR(INDEX(Carteira!$B$5:$B$204,MATCH(B479,Carteira!$A$5:$A$204,0)),"Obra não cadastrada"))</f>
        <v/>
      </c>
      <c r="D479" s="62"/>
      <c r="E479" s="62"/>
      <c r="F479" s="63"/>
    </row>
    <row r="480" spans="1:6" x14ac:dyDescent="0.3">
      <c r="A480" s="64"/>
      <c r="B480" s="61"/>
      <c r="C480" s="67" t="str">
        <f>IF(B480="","",IFERROR(INDEX(Carteira!$B$5:$B$204,MATCH(B480,Carteira!$A$5:$A$204,0)),"Obra não cadastrada"))</f>
        <v/>
      </c>
      <c r="D480" s="62"/>
      <c r="E480" s="62"/>
      <c r="F480" s="63"/>
    </row>
    <row r="481" spans="1:6" x14ac:dyDescent="0.3">
      <c r="A481" s="64"/>
      <c r="B481" s="61"/>
      <c r="C481" s="67" t="str">
        <f>IF(B481="","",IFERROR(INDEX(Carteira!$B$5:$B$204,MATCH(B481,Carteira!$A$5:$A$204,0)),"Obra não cadastrada"))</f>
        <v/>
      </c>
      <c r="D481" s="62"/>
      <c r="E481" s="62"/>
      <c r="F481" s="63"/>
    </row>
    <row r="482" spans="1:6" x14ac:dyDescent="0.3">
      <c r="A482" s="64"/>
      <c r="B482" s="61"/>
      <c r="C482" s="67" t="str">
        <f>IF(B482="","",IFERROR(INDEX(Carteira!$B$5:$B$204,MATCH(B482,Carteira!$A$5:$A$204,0)),"Obra não cadastrada"))</f>
        <v/>
      </c>
      <c r="D482" s="62"/>
      <c r="E482" s="62"/>
      <c r="F482" s="63"/>
    </row>
    <row r="483" spans="1:6" x14ac:dyDescent="0.3">
      <c r="A483" s="64"/>
      <c r="B483" s="61"/>
      <c r="C483" s="67" t="str">
        <f>IF(B483="","",IFERROR(INDEX(Carteira!$B$5:$B$204,MATCH(B483,Carteira!$A$5:$A$204,0)),"Obra não cadastrada"))</f>
        <v/>
      </c>
      <c r="D483" s="62"/>
      <c r="E483" s="62"/>
      <c r="F483" s="63"/>
    </row>
    <row r="484" spans="1:6" x14ac:dyDescent="0.3">
      <c r="A484" s="64"/>
      <c r="B484" s="61"/>
      <c r="C484" s="67" t="str">
        <f>IF(B484="","",IFERROR(INDEX(Carteira!$B$5:$B$204,MATCH(B484,Carteira!$A$5:$A$204,0)),"Obra não cadastrada"))</f>
        <v/>
      </c>
      <c r="D484" s="62"/>
      <c r="E484" s="62"/>
      <c r="F484" s="63"/>
    </row>
    <row r="485" spans="1:6" x14ac:dyDescent="0.3">
      <c r="A485" s="64"/>
      <c r="B485" s="61"/>
      <c r="C485" s="67" t="str">
        <f>IF(B485="","",IFERROR(INDEX(Carteira!$B$5:$B$204,MATCH(B485,Carteira!$A$5:$A$204,0)),"Obra não cadastrada"))</f>
        <v/>
      </c>
      <c r="D485" s="62"/>
      <c r="E485" s="62"/>
      <c r="F485" s="63"/>
    </row>
    <row r="486" spans="1:6" x14ac:dyDescent="0.3">
      <c r="A486" s="64"/>
      <c r="B486" s="61"/>
      <c r="C486" s="67" t="str">
        <f>IF(B486="","",IFERROR(INDEX(Carteira!$B$5:$B$204,MATCH(B486,Carteira!$A$5:$A$204,0)),"Obra não cadastrada"))</f>
        <v/>
      </c>
      <c r="D486" s="62"/>
      <c r="E486" s="62"/>
      <c r="F486" s="63"/>
    </row>
    <row r="487" spans="1:6" x14ac:dyDescent="0.3">
      <c r="A487" s="64"/>
      <c r="B487" s="61"/>
      <c r="C487" s="67" t="str">
        <f>IF(B487="","",IFERROR(INDEX(Carteira!$B$5:$B$204,MATCH(B487,Carteira!$A$5:$A$204,0)),"Obra não cadastrada"))</f>
        <v/>
      </c>
      <c r="D487" s="62"/>
      <c r="E487" s="62"/>
      <c r="F487" s="63"/>
    </row>
    <row r="488" spans="1:6" x14ac:dyDescent="0.3">
      <c r="A488" s="64"/>
      <c r="B488" s="61"/>
      <c r="C488" s="67" t="str">
        <f>IF(B488="","",IFERROR(INDEX(Carteira!$B$5:$B$204,MATCH(B488,Carteira!$A$5:$A$204,0)),"Obra não cadastrada"))</f>
        <v/>
      </c>
      <c r="D488" s="62"/>
      <c r="E488" s="62"/>
      <c r="F488" s="63"/>
    </row>
    <row r="489" spans="1:6" x14ac:dyDescent="0.3">
      <c r="A489" s="64"/>
      <c r="B489" s="61"/>
      <c r="C489" s="67" t="str">
        <f>IF(B489="","",IFERROR(INDEX(Carteira!$B$5:$B$204,MATCH(B489,Carteira!$A$5:$A$204,0)),"Obra não cadastrada"))</f>
        <v/>
      </c>
      <c r="D489" s="62"/>
      <c r="E489" s="62"/>
      <c r="F489" s="63"/>
    </row>
    <row r="490" spans="1:6" x14ac:dyDescent="0.3">
      <c r="A490" s="64"/>
      <c r="B490" s="61"/>
      <c r="C490" s="67" t="str">
        <f>IF(B490="","",IFERROR(INDEX(Carteira!$B$5:$B$204,MATCH(B490,Carteira!$A$5:$A$204,0)),"Obra não cadastrada"))</f>
        <v/>
      </c>
      <c r="D490" s="62"/>
      <c r="E490" s="62"/>
      <c r="F490" s="63"/>
    </row>
    <row r="491" spans="1:6" x14ac:dyDescent="0.3">
      <c r="A491" s="64"/>
      <c r="B491" s="61"/>
      <c r="C491" s="67" t="str">
        <f>IF(B491="","",IFERROR(INDEX(Carteira!$B$5:$B$204,MATCH(B491,Carteira!$A$5:$A$204,0)),"Obra não cadastrada"))</f>
        <v/>
      </c>
      <c r="D491" s="62"/>
      <c r="E491" s="62"/>
      <c r="F491" s="63"/>
    </row>
    <row r="492" spans="1:6" x14ac:dyDescent="0.3">
      <c r="A492" s="64"/>
      <c r="B492" s="61"/>
      <c r="C492" s="67" t="str">
        <f>IF(B492="","",IFERROR(INDEX(Carteira!$B$5:$B$204,MATCH(B492,Carteira!$A$5:$A$204,0)),"Obra não cadastrada"))</f>
        <v/>
      </c>
      <c r="D492" s="62"/>
      <c r="E492" s="62"/>
      <c r="F492" s="63"/>
    </row>
    <row r="493" spans="1:6" x14ac:dyDescent="0.3">
      <c r="A493" s="64"/>
      <c r="B493" s="61"/>
      <c r="C493" s="67" t="str">
        <f>IF(B493="","",IFERROR(INDEX(Carteira!$B$5:$B$204,MATCH(B493,Carteira!$A$5:$A$204,0)),"Obra não cadastrada"))</f>
        <v/>
      </c>
      <c r="D493" s="62"/>
      <c r="E493" s="62"/>
      <c r="F493" s="63"/>
    </row>
    <row r="494" spans="1:6" x14ac:dyDescent="0.3">
      <c r="A494" s="64"/>
      <c r="B494" s="61"/>
      <c r="C494" s="67" t="str">
        <f>IF(B494="","",IFERROR(INDEX(Carteira!$B$5:$B$204,MATCH(B494,Carteira!$A$5:$A$204,0)),"Obra não cadastrada"))</f>
        <v/>
      </c>
      <c r="D494" s="62"/>
      <c r="E494" s="62"/>
      <c r="F494" s="63"/>
    </row>
    <row r="495" spans="1:6" x14ac:dyDescent="0.3">
      <c r="A495" s="64"/>
      <c r="B495" s="61"/>
      <c r="C495" s="67" t="str">
        <f>IF(B495="","",IFERROR(INDEX(Carteira!$B$5:$B$204,MATCH(B495,Carteira!$A$5:$A$204,0)),"Obra não cadastrada"))</f>
        <v/>
      </c>
      <c r="D495" s="62"/>
      <c r="E495" s="62"/>
      <c r="F495" s="63"/>
    </row>
    <row r="496" spans="1:6" x14ac:dyDescent="0.3">
      <c r="A496" s="64"/>
      <c r="B496" s="61"/>
      <c r="C496" s="67" t="str">
        <f>IF(B496="","",IFERROR(INDEX(Carteira!$B$5:$B$204,MATCH(B496,Carteira!$A$5:$A$204,0)),"Obra não cadastrada"))</f>
        <v/>
      </c>
      <c r="D496" s="62"/>
      <c r="E496" s="62"/>
      <c r="F496" s="63"/>
    </row>
    <row r="497" spans="1:6" x14ac:dyDescent="0.3">
      <c r="A497" s="64"/>
      <c r="B497" s="61"/>
      <c r="C497" s="67" t="str">
        <f>IF(B497="","",IFERROR(INDEX(Carteira!$B$5:$B$204,MATCH(B497,Carteira!$A$5:$A$204,0)),"Obra não cadastrada"))</f>
        <v/>
      </c>
      <c r="D497" s="62"/>
      <c r="E497" s="62"/>
      <c r="F497" s="63"/>
    </row>
    <row r="498" spans="1:6" x14ac:dyDescent="0.3">
      <c r="A498" s="64"/>
      <c r="B498" s="61"/>
      <c r="C498" s="67" t="str">
        <f>IF(B498="","",IFERROR(INDEX(Carteira!$B$5:$B$204,MATCH(B498,Carteira!$A$5:$A$204,0)),"Obra não cadastrada"))</f>
        <v/>
      </c>
      <c r="D498" s="62"/>
      <c r="E498" s="62"/>
      <c r="F498" s="63"/>
    </row>
    <row r="499" spans="1:6" x14ac:dyDescent="0.3">
      <c r="A499" s="64"/>
      <c r="B499" s="61"/>
      <c r="C499" s="67" t="str">
        <f>IF(B499="","",IFERROR(INDEX(Carteira!$B$5:$B$204,MATCH(B499,Carteira!$A$5:$A$204,0)),"Obra não cadastrada"))</f>
        <v/>
      </c>
      <c r="D499" s="62"/>
      <c r="E499" s="62"/>
      <c r="F499" s="63"/>
    </row>
    <row r="500" spans="1:6" x14ac:dyDescent="0.3">
      <c r="A500" s="64"/>
      <c r="B500" s="61"/>
      <c r="C500" s="67" t="str">
        <f>IF(B500="","",IFERROR(INDEX(Carteira!$B$5:$B$204,MATCH(B500,Carteira!$A$5:$A$204,0)),"Obra não cadastrada"))</f>
        <v/>
      </c>
      <c r="D500" s="62"/>
      <c r="E500" s="62"/>
      <c r="F500" s="63"/>
    </row>
    <row r="501" spans="1:6" x14ac:dyDescent="0.3">
      <c r="A501" s="64"/>
      <c r="B501" s="61"/>
      <c r="C501" s="67" t="str">
        <f>IF(B501="","",IFERROR(INDEX(Carteira!$B$5:$B$204,MATCH(B501,Carteira!$A$5:$A$204,0)),"Obra não cadastrada"))</f>
        <v/>
      </c>
      <c r="D501" s="62"/>
      <c r="E501" s="62"/>
      <c r="F501" s="63"/>
    </row>
    <row r="502" spans="1:6" x14ac:dyDescent="0.3">
      <c r="A502" s="64"/>
      <c r="B502" s="61"/>
      <c r="C502" s="67" t="str">
        <f>IF(B502="","",IFERROR(INDEX(Carteira!$B$5:$B$204,MATCH(B502,Carteira!$A$5:$A$204,0)),"Obra não cadastrada"))</f>
        <v/>
      </c>
      <c r="D502" s="62"/>
      <c r="E502" s="62"/>
      <c r="F502" s="63"/>
    </row>
    <row r="503" spans="1:6" x14ac:dyDescent="0.3">
      <c r="A503" s="64"/>
      <c r="B503" s="61"/>
      <c r="C503" s="67" t="str">
        <f>IF(B503="","",IFERROR(INDEX(Carteira!$B$5:$B$204,MATCH(B503,Carteira!$A$5:$A$204,0)),"Obra não cadastrada"))</f>
        <v/>
      </c>
      <c r="D503" s="62"/>
      <c r="E503" s="62"/>
      <c r="F503" s="63"/>
    </row>
    <row r="504" spans="1:6" x14ac:dyDescent="0.3">
      <c r="A504" s="64"/>
      <c r="B504" s="61"/>
      <c r="C504" s="67" t="str">
        <f>IF(B504="","",IFERROR(INDEX(Carteira!$B$5:$B$204,MATCH(B504,Carteira!$A$5:$A$204,0)),"Obra não cadastrada"))</f>
        <v/>
      </c>
      <c r="D504" s="62"/>
      <c r="E504" s="62"/>
      <c r="F504" s="63"/>
    </row>
    <row r="505" spans="1:6" x14ac:dyDescent="0.3">
      <c r="A505" s="64"/>
      <c r="B505" s="61"/>
      <c r="C505" s="67" t="str">
        <f>IF(B505="","",IFERROR(INDEX(Carteira!$B$5:$B$204,MATCH(B505,Carteira!$A$5:$A$204,0)),"Obra não cadastrada"))</f>
        <v/>
      </c>
      <c r="D505" s="62"/>
      <c r="E505" s="62"/>
      <c r="F505" s="63"/>
    </row>
    <row r="506" spans="1:6" x14ac:dyDescent="0.3">
      <c r="A506" s="64"/>
      <c r="B506" s="61"/>
      <c r="C506" s="67" t="str">
        <f>IF(B506="","",IFERROR(INDEX(Carteira!$B$5:$B$204,MATCH(B506,Carteira!$A$5:$A$204,0)),"Obra não cadastrada"))</f>
        <v/>
      </c>
      <c r="D506" s="62"/>
      <c r="E506" s="62"/>
      <c r="F506" s="63"/>
    </row>
    <row r="507" spans="1:6" x14ac:dyDescent="0.3">
      <c r="A507" s="64"/>
      <c r="B507" s="61"/>
      <c r="C507" s="67" t="str">
        <f>IF(B507="","",IFERROR(INDEX(Carteira!$B$5:$B$204,MATCH(B507,Carteira!$A$5:$A$204,0)),"Obra não cadastrada"))</f>
        <v/>
      </c>
      <c r="D507" s="62"/>
      <c r="E507" s="62"/>
      <c r="F507" s="63"/>
    </row>
    <row r="508" spans="1:6" x14ac:dyDescent="0.3">
      <c r="A508" s="64"/>
      <c r="B508" s="61"/>
      <c r="C508" s="67" t="str">
        <f>IF(B508="","",IFERROR(INDEX(Carteira!$B$5:$B$204,MATCH(B508,Carteira!$A$5:$A$204,0)),"Obra não cadastrada"))</f>
        <v/>
      </c>
      <c r="D508" s="62"/>
      <c r="E508" s="62"/>
      <c r="F508" s="63"/>
    </row>
    <row r="509" spans="1:6" x14ac:dyDescent="0.3">
      <c r="A509" s="64"/>
      <c r="B509" s="61"/>
      <c r="C509" s="67" t="str">
        <f>IF(B509="","",IFERROR(INDEX(Carteira!$B$5:$B$204,MATCH(B509,Carteira!$A$5:$A$204,0)),"Obra não cadastrada"))</f>
        <v/>
      </c>
      <c r="D509" s="62"/>
      <c r="E509" s="62"/>
      <c r="F509" s="63"/>
    </row>
    <row r="510" spans="1:6" x14ac:dyDescent="0.3">
      <c r="A510" s="64"/>
      <c r="B510" s="61"/>
      <c r="C510" s="67" t="str">
        <f>IF(B510="","",IFERROR(INDEX(Carteira!$B$5:$B$204,MATCH(B510,Carteira!$A$5:$A$204,0)),"Obra não cadastrada"))</f>
        <v/>
      </c>
      <c r="D510" s="62"/>
      <c r="E510" s="62"/>
      <c r="F510" s="63"/>
    </row>
    <row r="511" spans="1:6" x14ac:dyDescent="0.3">
      <c r="A511" s="64"/>
      <c r="B511" s="61"/>
      <c r="C511" s="67" t="str">
        <f>IF(B511="","",IFERROR(INDEX(Carteira!$B$5:$B$204,MATCH(B511,Carteira!$A$5:$A$204,0)),"Obra não cadastrada"))</f>
        <v/>
      </c>
      <c r="D511" s="62"/>
      <c r="E511" s="62"/>
      <c r="F511" s="63"/>
    </row>
    <row r="512" spans="1:6" x14ac:dyDescent="0.3">
      <c r="A512" s="64"/>
      <c r="B512" s="61"/>
      <c r="C512" s="67" t="str">
        <f>IF(B512="","",IFERROR(INDEX(Carteira!$B$5:$B$204,MATCH(B512,Carteira!$A$5:$A$204,0)),"Obra não cadastrada"))</f>
        <v/>
      </c>
      <c r="D512" s="62"/>
      <c r="E512" s="62"/>
      <c r="F512" s="63"/>
    </row>
    <row r="513" spans="1:6" x14ac:dyDescent="0.3">
      <c r="A513" s="64"/>
      <c r="B513" s="61"/>
      <c r="C513" s="67" t="str">
        <f>IF(B513="","",IFERROR(INDEX(Carteira!$B$5:$B$204,MATCH(B513,Carteira!$A$5:$A$204,0)),"Obra não cadastrada"))</f>
        <v/>
      </c>
      <c r="D513" s="62"/>
      <c r="E513" s="62"/>
      <c r="F513" s="63"/>
    </row>
    <row r="514" spans="1:6" x14ac:dyDescent="0.3">
      <c r="A514" s="64"/>
      <c r="B514" s="61"/>
      <c r="C514" s="67" t="str">
        <f>IF(B514="","",IFERROR(INDEX(Carteira!$B$5:$B$204,MATCH(B514,Carteira!$A$5:$A$204,0)),"Obra não cadastrada"))</f>
        <v/>
      </c>
      <c r="D514" s="62"/>
      <c r="E514" s="62"/>
      <c r="F514" s="63"/>
    </row>
    <row r="515" spans="1:6" x14ac:dyDescent="0.3">
      <c r="A515" s="64"/>
      <c r="B515" s="61"/>
      <c r="C515" s="67" t="str">
        <f>IF(B515="","",IFERROR(INDEX(Carteira!$B$5:$B$204,MATCH(B515,Carteira!$A$5:$A$204,0)),"Obra não cadastrada"))</f>
        <v/>
      </c>
      <c r="D515" s="62"/>
      <c r="E515" s="62"/>
      <c r="F515" s="63"/>
    </row>
    <row r="516" spans="1:6" x14ac:dyDescent="0.3">
      <c r="A516" s="64"/>
      <c r="B516" s="61"/>
      <c r="C516" s="67" t="str">
        <f>IF(B516="","",IFERROR(INDEX(Carteira!$B$5:$B$204,MATCH(B516,Carteira!$A$5:$A$204,0)),"Obra não cadastrada"))</f>
        <v/>
      </c>
      <c r="D516" s="62"/>
      <c r="E516" s="62"/>
      <c r="F516" s="63"/>
    </row>
    <row r="517" spans="1:6" x14ac:dyDescent="0.3">
      <c r="A517" s="64"/>
      <c r="B517" s="61"/>
      <c r="C517" s="67" t="str">
        <f>IF(B517="","",IFERROR(INDEX(Carteira!$B$5:$B$204,MATCH(B517,Carteira!$A$5:$A$204,0)),"Obra não cadastrada"))</f>
        <v/>
      </c>
      <c r="D517" s="62"/>
      <c r="E517" s="62"/>
      <c r="F517" s="63"/>
    </row>
    <row r="518" spans="1:6" x14ac:dyDescent="0.3">
      <c r="A518" s="64"/>
      <c r="B518" s="61"/>
      <c r="C518" s="67" t="str">
        <f>IF(B518="","",IFERROR(INDEX(Carteira!$B$5:$B$204,MATCH(B518,Carteira!$A$5:$A$204,0)),"Obra não cadastrada"))</f>
        <v/>
      </c>
      <c r="D518" s="62"/>
      <c r="E518" s="62"/>
      <c r="F518" s="63"/>
    </row>
    <row r="519" spans="1:6" x14ac:dyDescent="0.3">
      <c r="A519" s="64"/>
      <c r="B519" s="61"/>
      <c r="C519" s="67" t="str">
        <f>IF(B519="","",IFERROR(INDEX(Carteira!$B$5:$B$204,MATCH(B519,Carteira!$A$5:$A$204,0)),"Obra não cadastrada"))</f>
        <v/>
      </c>
      <c r="D519" s="62"/>
      <c r="E519" s="62"/>
      <c r="F519" s="63"/>
    </row>
    <row r="520" spans="1:6" x14ac:dyDescent="0.3">
      <c r="A520" s="64"/>
      <c r="B520" s="61"/>
      <c r="C520" s="67" t="str">
        <f>IF(B520="","",IFERROR(INDEX(Carteira!$B$5:$B$204,MATCH(B520,Carteira!$A$5:$A$204,0)),"Obra não cadastrada"))</f>
        <v/>
      </c>
      <c r="D520" s="62"/>
      <c r="E520" s="62"/>
      <c r="F520" s="63"/>
    </row>
    <row r="521" spans="1:6" x14ac:dyDescent="0.3">
      <c r="A521" s="64"/>
      <c r="B521" s="61"/>
      <c r="C521" s="67" t="str">
        <f>IF(B521="","",IFERROR(INDEX(Carteira!$B$5:$B$204,MATCH(B521,Carteira!$A$5:$A$204,0)),"Obra não cadastrada"))</f>
        <v/>
      </c>
      <c r="D521" s="62"/>
      <c r="E521" s="62"/>
      <c r="F521" s="63"/>
    </row>
    <row r="522" spans="1:6" x14ac:dyDescent="0.3">
      <c r="A522" s="64"/>
      <c r="B522" s="61"/>
      <c r="C522" s="67" t="str">
        <f>IF(B522="","",IFERROR(INDEX(Carteira!$B$5:$B$204,MATCH(B522,Carteira!$A$5:$A$204,0)),"Obra não cadastrada"))</f>
        <v/>
      </c>
      <c r="D522" s="62"/>
      <c r="E522" s="62"/>
      <c r="F522" s="63"/>
    </row>
    <row r="523" spans="1:6" x14ac:dyDescent="0.3">
      <c r="A523" s="64"/>
      <c r="B523" s="61"/>
      <c r="C523" s="67" t="str">
        <f>IF(B523="","",IFERROR(INDEX(Carteira!$B$5:$B$204,MATCH(B523,Carteira!$A$5:$A$204,0)),"Obra não cadastrada"))</f>
        <v/>
      </c>
      <c r="D523" s="62"/>
      <c r="E523" s="62"/>
      <c r="F523" s="63"/>
    </row>
    <row r="524" spans="1:6" x14ac:dyDescent="0.3">
      <c r="A524" s="64"/>
      <c r="B524" s="61"/>
      <c r="C524" s="67" t="str">
        <f>IF(B524="","",IFERROR(INDEX(Carteira!$B$5:$B$204,MATCH(B524,Carteira!$A$5:$A$204,0)),"Obra não cadastrada"))</f>
        <v/>
      </c>
      <c r="D524" s="62"/>
      <c r="E524" s="62"/>
      <c r="F524" s="63"/>
    </row>
    <row r="525" spans="1:6" x14ac:dyDescent="0.3">
      <c r="A525" s="64"/>
      <c r="B525" s="61"/>
      <c r="C525" s="67" t="str">
        <f>IF(B525="","",IFERROR(INDEX(Carteira!$B$5:$B$204,MATCH(B525,Carteira!$A$5:$A$204,0)),"Obra não cadastrada"))</f>
        <v/>
      </c>
      <c r="D525" s="62"/>
      <c r="E525" s="62"/>
      <c r="F525" s="63"/>
    </row>
    <row r="526" spans="1:6" x14ac:dyDescent="0.3">
      <c r="A526" s="64"/>
      <c r="B526" s="61"/>
      <c r="C526" s="67" t="str">
        <f>IF(B526="","",IFERROR(INDEX(Carteira!$B$5:$B$204,MATCH(B526,Carteira!$A$5:$A$204,0)),"Obra não cadastrada"))</f>
        <v/>
      </c>
      <c r="D526" s="62"/>
      <c r="E526" s="62"/>
      <c r="F526" s="63"/>
    </row>
    <row r="527" spans="1:6" x14ac:dyDescent="0.3">
      <c r="A527" s="64"/>
      <c r="B527" s="61"/>
      <c r="C527" s="67" t="str">
        <f>IF(B527="","",IFERROR(INDEX(Carteira!$B$5:$B$204,MATCH(B527,Carteira!$A$5:$A$204,0)),"Obra não cadastrada"))</f>
        <v/>
      </c>
      <c r="D527" s="62"/>
      <c r="E527" s="62"/>
      <c r="F527" s="63"/>
    </row>
    <row r="528" spans="1:6" x14ac:dyDescent="0.3">
      <c r="A528" s="64"/>
      <c r="B528" s="61"/>
      <c r="C528" s="67" t="str">
        <f>IF(B528="","",IFERROR(INDEX(Carteira!$B$5:$B$204,MATCH(B528,Carteira!$A$5:$A$204,0)),"Obra não cadastrada"))</f>
        <v/>
      </c>
      <c r="D528" s="62"/>
      <c r="E528" s="62"/>
      <c r="F528" s="63"/>
    </row>
    <row r="529" spans="1:6" x14ac:dyDescent="0.3">
      <c r="A529" s="64"/>
      <c r="B529" s="61"/>
      <c r="C529" s="67" t="str">
        <f>IF(B529="","",IFERROR(INDEX(Carteira!$B$5:$B$204,MATCH(B529,Carteira!$A$5:$A$204,0)),"Obra não cadastrada"))</f>
        <v/>
      </c>
      <c r="D529" s="62"/>
      <c r="E529" s="62"/>
      <c r="F529" s="63"/>
    </row>
    <row r="530" spans="1:6" x14ac:dyDescent="0.3">
      <c r="A530" s="64"/>
      <c r="B530" s="61"/>
      <c r="C530" s="67" t="str">
        <f>IF(B530="","",IFERROR(INDEX(Carteira!$B$5:$B$204,MATCH(B530,Carteira!$A$5:$A$204,0)),"Obra não cadastrada"))</f>
        <v/>
      </c>
      <c r="D530" s="62"/>
      <c r="E530" s="62"/>
      <c r="F530" s="63"/>
    </row>
    <row r="531" spans="1:6" x14ac:dyDescent="0.3">
      <c r="A531" s="64"/>
      <c r="B531" s="61"/>
      <c r="C531" s="67" t="str">
        <f>IF(B531="","",IFERROR(INDEX(Carteira!$B$5:$B$204,MATCH(B531,Carteira!$A$5:$A$204,0)),"Obra não cadastrada"))</f>
        <v/>
      </c>
      <c r="D531" s="62"/>
      <c r="E531" s="62"/>
      <c r="F531" s="63"/>
    </row>
    <row r="532" spans="1:6" x14ac:dyDescent="0.3">
      <c r="A532" s="64"/>
      <c r="B532" s="61"/>
      <c r="C532" s="67" t="str">
        <f>IF(B532="","",IFERROR(INDEX(Carteira!$B$5:$B$204,MATCH(B532,Carteira!$A$5:$A$204,0)),"Obra não cadastrada"))</f>
        <v/>
      </c>
      <c r="D532" s="62"/>
      <c r="E532" s="62"/>
      <c r="F532" s="63"/>
    </row>
    <row r="533" spans="1:6" x14ac:dyDescent="0.3">
      <c r="A533" s="64"/>
      <c r="B533" s="61"/>
      <c r="C533" s="67" t="str">
        <f>IF(B533="","",IFERROR(INDEX(Carteira!$B$5:$B$204,MATCH(B533,Carteira!$A$5:$A$204,0)),"Obra não cadastrada"))</f>
        <v/>
      </c>
      <c r="D533" s="62"/>
      <c r="E533" s="62"/>
      <c r="F533" s="63"/>
    </row>
    <row r="534" spans="1:6" x14ac:dyDescent="0.3">
      <c r="A534" s="64"/>
      <c r="B534" s="61"/>
      <c r="C534" s="67" t="str">
        <f>IF(B534="","",IFERROR(INDEX(Carteira!$B$5:$B$204,MATCH(B534,Carteira!$A$5:$A$204,0)),"Obra não cadastrada"))</f>
        <v/>
      </c>
      <c r="D534" s="62"/>
      <c r="E534" s="62"/>
      <c r="F534" s="63"/>
    </row>
    <row r="535" spans="1:6" x14ac:dyDescent="0.3">
      <c r="A535" s="64"/>
      <c r="B535" s="61"/>
      <c r="C535" s="67" t="str">
        <f>IF(B535="","",IFERROR(INDEX(Carteira!$B$5:$B$204,MATCH(B535,Carteira!$A$5:$A$204,0)),"Obra não cadastrada"))</f>
        <v/>
      </c>
      <c r="D535" s="62"/>
      <c r="E535" s="62"/>
      <c r="F535" s="63"/>
    </row>
    <row r="536" spans="1:6" x14ac:dyDescent="0.3">
      <c r="A536" s="64"/>
      <c r="B536" s="61"/>
      <c r="C536" s="67" t="str">
        <f>IF(B536="","",IFERROR(INDEX(Carteira!$B$5:$B$204,MATCH(B536,Carteira!$A$5:$A$204,0)),"Obra não cadastrada"))</f>
        <v/>
      </c>
      <c r="D536" s="62"/>
      <c r="E536" s="62"/>
      <c r="F536" s="63"/>
    </row>
    <row r="537" spans="1:6" x14ac:dyDescent="0.3">
      <c r="A537" s="64"/>
      <c r="B537" s="61"/>
      <c r="C537" s="67" t="str">
        <f>IF(B537="","",IFERROR(INDEX(Carteira!$B$5:$B$204,MATCH(B537,Carteira!$A$5:$A$204,0)),"Obra não cadastrada"))</f>
        <v/>
      </c>
      <c r="D537" s="62"/>
      <c r="E537" s="62"/>
      <c r="F537" s="63"/>
    </row>
    <row r="538" spans="1:6" x14ac:dyDescent="0.3">
      <c r="A538" s="64"/>
      <c r="B538" s="61"/>
      <c r="C538" s="67" t="str">
        <f>IF(B538="","",IFERROR(INDEX(Carteira!$B$5:$B$204,MATCH(B538,Carteira!$A$5:$A$204,0)),"Obra não cadastrada"))</f>
        <v/>
      </c>
      <c r="D538" s="62"/>
      <c r="E538" s="62"/>
      <c r="F538" s="63"/>
    </row>
    <row r="539" spans="1:6" x14ac:dyDescent="0.3">
      <c r="A539" s="64"/>
      <c r="B539" s="61"/>
      <c r="C539" s="67" t="str">
        <f>IF(B539="","",IFERROR(INDEX(Carteira!$B$5:$B$204,MATCH(B539,Carteira!$A$5:$A$204,0)),"Obra não cadastrada"))</f>
        <v/>
      </c>
      <c r="D539" s="62"/>
      <c r="E539" s="62"/>
      <c r="F539" s="63"/>
    </row>
    <row r="540" spans="1:6" x14ac:dyDescent="0.3">
      <c r="A540" s="64"/>
      <c r="B540" s="61"/>
      <c r="C540" s="67" t="str">
        <f>IF(B540="","",IFERROR(INDEX(Carteira!$B$5:$B$204,MATCH(B540,Carteira!$A$5:$A$204,0)),"Obra não cadastrada"))</f>
        <v/>
      </c>
      <c r="D540" s="62"/>
      <c r="E540" s="62"/>
      <c r="F540" s="63"/>
    </row>
    <row r="541" spans="1:6" x14ac:dyDescent="0.3">
      <c r="A541" s="64"/>
      <c r="B541" s="61"/>
      <c r="C541" s="67" t="str">
        <f>IF(B541="","",IFERROR(INDEX(Carteira!$B$5:$B$204,MATCH(B541,Carteira!$A$5:$A$204,0)),"Obra não cadastrada"))</f>
        <v/>
      </c>
      <c r="D541" s="62"/>
      <c r="E541" s="62"/>
      <c r="F541" s="63"/>
    </row>
    <row r="542" spans="1:6" x14ac:dyDescent="0.3">
      <c r="A542" s="64"/>
      <c r="B542" s="61"/>
      <c r="C542" s="67" t="str">
        <f>IF(B542="","",IFERROR(INDEX(Carteira!$B$5:$B$204,MATCH(B542,Carteira!$A$5:$A$204,0)),"Obra não cadastrada"))</f>
        <v/>
      </c>
      <c r="D542" s="62"/>
      <c r="E542" s="62"/>
      <c r="F542" s="63"/>
    </row>
    <row r="543" spans="1:6" x14ac:dyDescent="0.3">
      <c r="A543" s="64"/>
      <c r="B543" s="61"/>
      <c r="C543" s="67" t="str">
        <f>IF(B543="","",IFERROR(INDEX(Carteira!$B$5:$B$204,MATCH(B543,Carteira!$A$5:$A$204,0)),"Obra não cadastrada"))</f>
        <v/>
      </c>
      <c r="D543" s="62"/>
      <c r="E543" s="62"/>
      <c r="F543" s="63"/>
    </row>
    <row r="544" spans="1:6" x14ac:dyDescent="0.3">
      <c r="A544" s="64"/>
      <c r="B544" s="61"/>
      <c r="C544" s="67" t="str">
        <f>IF(B544="","",IFERROR(INDEX(Carteira!$B$5:$B$204,MATCH(B544,Carteira!$A$5:$A$204,0)),"Obra não cadastrada"))</f>
        <v/>
      </c>
      <c r="D544" s="62"/>
      <c r="E544" s="62"/>
      <c r="F544" s="63"/>
    </row>
    <row r="545" spans="1:6" x14ac:dyDescent="0.3">
      <c r="A545" s="64"/>
      <c r="B545" s="61"/>
      <c r="C545" s="67" t="str">
        <f>IF(B545="","",IFERROR(INDEX(Carteira!$B$5:$B$204,MATCH(B545,Carteira!$A$5:$A$204,0)),"Obra não cadastrada"))</f>
        <v/>
      </c>
      <c r="D545" s="62"/>
      <c r="E545" s="62"/>
      <c r="F545" s="63"/>
    </row>
    <row r="546" spans="1:6" x14ac:dyDescent="0.3">
      <c r="A546" s="64"/>
      <c r="B546" s="61"/>
      <c r="C546" s="67" t="str">
        <f>IF(B546="","",IFERROR(INDEX(Carteira!$B$5:$B$204,MATCH(B546,Carteira!$A$5:$A$204,0)),"Obra não cadastrada"))</f>
        <v/>
      </c>
      <c r="D546" s="62"/>
      <c r="E546" s="62"/>
      <c r="F546" s="63"/>
    </row>
    <row r="547" spans="1:6" x14ac:dyDescent="0.3">
      <c r="A547" s="64"/>
      <c r="B547" s="61"/>
      <c r="C547" s="67" t="str">
        <f>IF(B547="","",IFERROR(INDEX(Carteira!$B$5:$B$204,MATCH(B547,Carteira!$A$5:$A$204,0)),"Obra não cadastrada"))</f>
        <v/>
      </c>
      <c r="D547" s="62"/>
      <c r="E547" s="62"/>
      <c r="F547" s="63"/>
    </row>
    <row r="548" spans="1:6" x14ac:dyDescent="0.3">
      <c r="A548" s="64"/>
      <c r="B548" s="61"/>
      <c r="C548" s="67" t="str">
        <f>IF(B548="","",IFERROR(INDEX(Carteira!$B$5:$B$204,MATCH(B548,Carteira!$A$5:$A$204,0)),"Obra não cadastrada"))</f>
        <v/>
      </c>
      <c r="D548" s="62"/>
      <c r="E548" s="62"/>
      <c r="F548" s="63"/>
    </row>
    <row r="549" spans="1:6" x14ac:dyDescent="0.3">
      <c r="A549" s="64"/>
      <c r="B549" s="61"/>
      <c r="C549" s="67" t="str">
        <f>IF(B549="","",IFERROR(INDEX(Carteira!$B$5:$B$204,MATCH(B549,Carteira!$A$5:$A$204,0)),"Obra não cadastrada"))</f>
        <v/>
      </c>
      <c r="D549" s="62"/>
      <c r="E549" s="62"/>
      <c r="F549" s="63"/>
    </row>
    <row r="550" spans="1:6" x14ac:dyDescent="0.3">
      <c r="A550" s="64"/>
      <c r="B550" s="61"/>
      <c r="C550" s="67" t="str">
        <f>IF(B550="","",IFERROR(INDEX(Carteira!$B$5:$B$204,MATCH(B550,Carteira!$A$5:$A$204,0)),"Obra não cadastrada"))</f>
        <v/>
      </c>
      <c r="D550" s="62"/>
      <c r="E550" s="62"/>
      <c r="F550" s="63"/>
    </row>
    <row r="551" spans="1:6" x14ac:dyDescent="0.3">
      <c r="A551" s="64"/>
      <c r="B551" s="61"/>
      <c r="C551" s="67" t="str">
        <f>IF(B551="","",IFERROR(INDEX(Carteira!$B$5:$B$204,MATCH(B551,Carteira!$A$5:$A$204,0)),"Obra não cadastrada"))</f>
        <v/>
      </c>
      <c r="D551" s="62"/>
      <c r="E551" s="62"/>
      <c r="F551" s="63"/>
    </row>
    <row r="552" spans="1:6" x14ac:dyDescent="0.3">
      <c r="A552" s="64"/>
      <c r="B552" s="61"/>
      <c r="C552" s="67" t="str">
        <f>IF(B552="","",IFERROR(INDEX(Carteira!$B$5:$B$204,MATCH(B552,Carteira!$A$5:$A$204,0)),"Obra não cadastrada"))</f>
        <v/>
      </c>
      <c r="D552" s="62"/>
      <c r="E552" s="62"/>
      <c r="F552" s="63"/>
    </row>
    <row r="553" spans="1:6" x14ac:dyDescent="0.3">
      <c r="A553" s="64"/>
      <c r="B553" s="61"/>
      <c r="C553" s="67" t="str">
        <f>IF(B553="","",IFERROR(INDEX(Carteira!$B$5:$B$204,MATCH(B553,Carteira!$A$5:$A$204,0)),"Obra não cadastrada"))</f>
        <v/>
      </c>
      <c r="D553" s="62"/>
      <c r="E553" s="62"/>
      <c r="F553" s="63"/>
    </row>
    <row r="554" spans="1:6" x14ac:dyDescent="0.3">
      <c r="A554" s="64"/>
      <c r="B554" s="61"/>
      <c r="C554" s="67" t="str">
        <f>IF(B554="","",IFERROR(INDEX(Carteira!$B$5:$B$204,MATCH(B554,Carteira!$A$5:$A$204,0)),"Obra não cadastrada"))</f>
        <v/>
      </c>
      <c r="D554" s="62"/>
      <c r="E554" s="62"/>
      <c r="F554" s="63"/>
    </row>
    <row r="555" spans="1:6" x14ac:dyDescent="0.3">
      <c r="A555" s="64"/>
      <c r="B555" s="61"/>
      <c r="C555" s="67" t="str">
        <f>IF(B555="","",IFERROR(INDEX(Carteira!$B$5:$B$204,MATCH(B555,Carteira!$A$5:$A$204,0)),"Obra não cadastrada"))</f>
        <v/>
      </c>
      <c r="D555" s="62"/>
      <c r="E555" s="62"/>
      <c r="F555" s="63"/>
    </row>
    <row r="556" spans="1:6" x14ac:dyDescent="0.3">
      <c r="A556" s="64"/>
      <c r="B556" s="61"/>
      <c r="C556" s="67" t="str">
        <f>IF(B556="","",IFERROR(INDEX(Carteira!$B$5:$B$204,MATCH(B556,Carteira!$A$5:$A$204,0)),"Obra não cadastrada"))</f>
        <v/>
      </c>
      <c r="D556" s="62"/>
      <c r="E556" s="62"/>
      <c r="F556" s="63"/>
    </row>
    <row r="557" spans="1:6" x14ac:dyDescent="0.3">
      <c r="A557" s="64"/>
      <c r="B557" s="61"/>
      <c r="C557" s="67" t="str">
        <f>IF(B557="","",IFERROR(INDEX(Carteira!$B$5:$B$204,MATCH(B557,Carteira!$A$5:$A$204,0)),"Obra não cadastrada"))</f>
        <v/>
      </c>
      <c r="D557" s="62"/>
      <c r="E557" s="62"/>
      <c r="F557" s="63"/>
    </row>
    <row r="558" spans="1:6" x14ac:dyDescent="0.3">
      <c r="A558" s="64"/>
      <c r="B558" s="61"/>
      <c r="C558" s="67" t="str">
        <f>IF(B558="","",IFERROR(INDEX(Carteira!$B$5:$B$204,MATCH(B558,Carteira!$A$5:$A$204,0)),"Obra não cadastrada"))</f>
        <v/>
      </c>
      <c r="D558" s="62"/>
      <c r="E558" s="62"/>
      <c r="F558" s="63"/>
    </row>
    <row r="559" spans="1:6" x14ac:dyDescent="0.3">
      <c r="A559" s="64"/>
      <c r="B559" s="61"/>
      <c r="C559" s="67" t="str">
        <f>IF(B559="","",IFERROR(INDEX(Carteira!$B$5:$B$204,MATCH(B559,Carteira!$A$5:$A$204,0)),"Obra não cadastrada"))</f>
        <v/>
      </c>
      <c r="D559" s="62"/>
      <c r="E559" s="62"/>
      <c r="F559" s="63"/>
    </row>
    <row r="560" spans="1:6" x14ac:dyDescent="0.3">
      <c r="A560" s="64"/>
      <c r="B560" s="61"/>
      <c r="C560" s="67" t="str">
        <f>IF(B560="","",IFERROR(INDEX(Carteira!$B$5:$B$204,MATCH(B560,Carteira!$A$5:$A$204,0)),"Obra não cadastrada"))</f>
        <v/>
      </c>
      <c r="D560" s="62"/>
      <c r="E560" s="62"/>
      <c r="F560" s="63"/>
    </row>
    <row r="561" spans="1:6" x14ac:dyDescent="0.3">
      <c r="A561" s="64"/>
      <c r="B561" s="61"/>
      <c r="C561" s="67" t="str">
        <f>IF(B561="","",IFERROR(INDEX(Carteira!$B$5:$B$204,MATCH(B561,Carteira!$A$5:$A$204,0)),"Obra não cadastrada"))</f>
        <v/>
      </c>
      <c r="D561" s="62"/>
      <c r="E561" s="62"/>
      <c r="F561" s="63"/>
    </row>
    <row r="562" spans="1:6" x14ac:dyDescent="0.3">
      <c r="A562" s="64"/>
      <c r="B562" s="61"/>
      <c r="C562" s="67" t="str">
        <f>IF(B562="","",IFERROR(INDEX(Carteira!$B$5:$B$204,MATCH(B562,Carteira!$A$5:$A$204,0)),"Obra não cadastrada"))</f>
        <v/>
      </c>
      <c r="D562" s="62"/>
      <c r="E562" s="62"/>
      <c r="F562" s="63"/>
    </row>
    <row r="563" spans="1:6" x14ac:dyDescent="0.3">
      <c r="A563" s="64"/>
      <c r="B563" s="61"/>
      <c r="C563" s="67" t="str">
        <f>IF(B563="","",IFERROR(INDEX(Carteira!$B$5:$B$204,MATCH(B563,Carteira!$A$5:$A$204,0)),"Obra não cadastrada"))</f>
        <v/>
      </c>
      <c r="D563" s="62"/>
      <c r="E563" s="62"/>
      <c r="F563" s="63"/>
    </row>
    <row r="564" spans="1:6" x14ac:dyDescent="0.3">
      <c r="A564" s="64"/>
      <c r="B564" s="61"/>
      <c r="C564" s="67" t="str">
        <f>IF(B564="","",IFERROR(INDEX(Carteira!$B$5:$B$204,MATCH(B564,Carteira!$A$5:$A$204,0)),"Obra não cadastrada"))</f>
        <v/>
      </c>
      <c r="D564" s="62"/>
      <c r="E564" s="62"/>
      <c r="F564" s="63"/>
    </row>
    <row r="565" spans="1:6" x14ac:dyDescent="0.3">
      <c r="A565" s="64"/>
      <c r="B565" s="61"/>
      <c r="C565" s="67" t="str">
        <f>IF(B565="","",IFERROR(INDEX(Carteira!$B$5:$B$204,MATCH(B565,Carteira!$A$5:$A$204,0)),"Obra não cadastrada"))</f>
        <v/>
      </c>
      <c r="D565" s="62"/>
      <c r="E565" s="62"/>
      <c r="F565" s="63"/>
    </row>
    <row r="566" spans="1:6" x14ac:dyDescent="0.3">
      <c r="A566" s="64"/>
      <c r="B566" s="61"/>
      <c r="C566" s="67" t="str">
        <f>IF(B566="","",IFERROR(INDEX(Carteira!$B$5:$B$204,MATCH(B566,Carteira!$A$5:$A$204,0)),"Obra não cadastrada"))</f>
        <v/>
      </c>
      <c r="D566" s="62"/>
      <c r="E566" s="62"/>
      <c r="F566" s="63"/>
    </row>
    <row r="567" spans="1:6" x14ac:dyDescent="0.3">
      <c r="A567" s="64"/>
      <c r="B567" s="61"/>
      <c r="C567" s="67" t="str">
        <f>IF(B567="","",IFERROR(INDEX(Carteira!$B$5:$B$204,MATCH(B567,Carteira!$A$5:$A$204,0)),"Obra não cadastrada"))</f>
        <v/>
      </c>
      <c r="D567" s="62"/>
      <c r="E567" s="62"/>
      <c r="F567" s="63"/>
    </row>
    <row r="568" spans="1:6" x14ac:dyDescent="0.3">
      <c r="A568" s="64"/>
      <c r="B568" s="61"/>
      <c r="C568" s="67" t="str">
        <f>IF(B568="","",IFERROR(INDEX(Carteira!$B$5:$B$204,MATCH(B568,Carteira!$A$5:$A$204,0)),"Obra não cadastrada"))</f>
        <v/>
      </c>
      <c r="D568" s="62"/>
      <c r="E568" s="62"/>
      <c r="F568" s="63"/>
    </row>
    <row r="569" spans="1:6" x14ac:dyDescent="0.3">
      <c r="A569" s="64"/>
      <c r="B569" s="61"/>
      <c r="C569" s="67" t="str">
        <f>IF(B569="","",IFERROR(INDEX(Carteira!$B$5:$B$204,MATCH(B569,Carteira!$A$5:$A$204,0)),"Obra não cadastrada"))</f>
        <v/>
      </c>
      <c r="D569" s="62"/>
      <c r="E569" s="62"/>
      <c r="F569" s="63"/>
    </row>
    <row r="570" spans="1:6" x14ac:dyDescent="0.3">
      <c r="A570" s="64"/>
      <c r="B570" s="61"/>
      <c r="C570" s="67" t="str">
        <f>IF(B570="","",IFERROR(INDEX(Carteira!$B$5:$B$204,MATCH(B570,Carteira!$A$5:$A$204,0)),"Obra não cadastrada"))</f>
        <v/>
      </c>
      <c r="D570" s="62"/>
      <c r="E570" s="62"/>
      <c r="F570" s="63"/>
    </row>
    <row r="571" spans="1:6" x14ac:dyDescent="0.3">
      <c r="A571" s="64"/>
      <c r="B571" s="61"/>
      <c r="C571" s="67" t="str">
        <f>IF(B571="","",IFERROR(INDEX(Carteira!$B$5:$B$204,MATCH(B571,Carteira!$A$5:$A$204,0)),"Obra não cadastrada"))</f>
        <v/>
      </c>
      <c r="D571" s="62"/>
      <c r="E571" s="62"/>
      <c r="F571" s="63"/>
    </row>
    <row r="572" spans="1:6" x14ac:dyDescent="0.3">
      <c r="A572" s="64"/>
      <c r="B572" s="61"/>
      <c r="C572" s="67" t="str">
        <f>IF(B572="","",IFERROR(INDEX(Carteira!$B$5:$B$204,MATCH(B572,Carteira!$A$5:$A$204,0)),"Obra não cadastrada"))</f>
        <v/>
      </c>
      <c r="D572" s="62"/>
      <c r="E572" s="62"/>
      <c r="F572" s="63"/>
    </row>
    <row r="573" spans="1:6" x14ac:dyDescent="0.3">
      <c r="A573" s="64"/>
      <c r="B573" s="61"/>
      <c r="C573" s="67" t="str">
        <f>IF(B573="","",IFERROR(INDEX(Carteira!$B$5:$B$204,MATCH(B573,Carteira!$A$5:$A$204,0)),"Obra não cadastrada"))</f>
        <v/>
      </c>
      <c r="D573" s="62"/>
      <c r="E573" s="62"/>
      <c r="F573" s="63"/>
    </row>
    <row r="574" spans="1:6" x14ac:dyDescent="0.3">
      <c r="A574" s="64"/>
      <c r="B574" s="61"/>
      <c r="C574" s="67" t="str">
        <f>IF(B574="","",IFERROR(INDEX(Carteira!$B$5:$B$204,MATCH(B574,Carteira!$A$5:$A$204,0)),"Obra não cadastrada"))</f>
        <v/>
      </c>
      <c r="D574" s="62"/>
      <c r="E574" s="62"/>
      <c r="F574" s="63"/>
    </row>
    <row r="575" spans="1:6" x14ac:dyDescent="0.3">
      <c r="A575" s="64"/>
      <c r="B575" s="61"/>
      <c r="C575" s="67" t="str">
        <f>IF(B575="","",IFERROR(INDEX(Carteira!$B$5:$B$204,MATCH(B575,Carteira!$A$5:$A$204,0)),"Obra não cadastrada"))</f>
        <v/>
      </c>
      <c r="D575" s="62"/>
      <c r="E575" s="62"/>
      <c r="F575" s="63"/>
    </row>
    <row r="576" spans="1:6" x14ac:dyDescent="0.3">
      <c r="A576" s="64"/>
      <c r="B576" s="61"/>
      <c r="C576" s="67" t="str">
        <f>IF(B576="","",IFERROR(INDEX(Carteira!$B$5:$B$204,MATCH(B576,Carteira!$A$5:$A$204,0)),"Obra não cadastrada"))</f>
        <v/>
      </c>
      <c r="D576" s="62"/>
      <c r="E576" s="62"/>
      <c r="F576" s="63"/>
    </row>
    <row r="577" spans="1:6" x14ac:dyDescent="0.3">
      <c r="A577" s="64"/>
      <c r="B577" s="61"/>
      <c r="C577" s="67" t="str">
        <f>IF(B577="","",IFERROR(INDEX(Carteira!$B$5:$B$204,MATCH(B577,Carteira!$A$5:$A$204,0)),"Obra não cadastrada"))</f>
        <v/>
      </c>
      <c r="D577" s="62"/>
      <c r="E577" s="62"/>
      <c r="F577" s="63"/>
    </row>
    <row r="578" spans="1:6" x14ac:dyDescent="0.3">
      <c r="A578" s="64"/>
      <c r="B578" s="61"/>
      <c r="C578" s="67" t="str">
        <f>IF(B578="","",IFERROR(INDEX(Carteira!$B$5:$B$204,MATCH(B578,Carteira!$A$5:$A$204,0)),"Obra não cadastrada"))</f>
        <v/>
      </c>
      <c r="D578" s="62"/>
      <c r="E578" s="62"/>
      <c r="F578" s="63"/>
    </row>
    <row r="579" spans="1:6" x14ac:dyDescent="0.3">
      <c r="A579" s="64"/>
      <c r="B579" s="61"/>
      <c r="C579" s="67" t="str">
        <f>IF(B579="","",IFERROR(INDEX(Carteira!$B$5:$B$204,MATCH(B579,Carteira!$A$5:$A$204,0)),"Obra não cadastrada"))</f>
        <v/>
      </c>
      <c r="D579" s="62"/>
      <c r="E579" s="62"/>
      <c r="F579" s="63"/>
    </row>
    <row r="580" spans="1:6" x14ac:dyDescent="0.3">
      <c r="A580" s="64"/>
      <c r="B580" s="61"/>
      <c r="C580" s="67" t="str">
        <f>IF(B580="","",IFERROR(INDEX(Carteira!$B$5:$B$204,MATCH(B580,Carteira!$A$5:$A$204,0)),"Obra não cadastrada"))</f>
        <v/>
      </c>
      <c r="D580" s="62"/>
      <c r="E580" s="62"/>
      <c r="F580" s="63"/>
    </row>
    <row r="581" spans="1:6" x14ac:dyDescent="0.3">
      <c r="A581" s="64"/>
      <c r="B581" s="61"/>
      <c r="C581" s="67" t="str">
        <f>IF(B581="","",IFERROR(INDEX(Carteira!$B$5:$B$204,MATCH(B581,Carteira!$A$5:$A$204,0)),"Obra não cadastrada"))</f>
        <v/>
      </c>
      <c r="D581" s="62"/>
      <c r="E581" s="62"/>
      <c r="F581" s="63"/>
    </row>
    <row r="582" spans="1:6" x14ac:dyDescent="0.3">
      <c r="A582" s="64"/>
      <c r="B582" s="61"/>
      <c r="C582" s="67" t="str">
        <f>IF(B582="","",IFERROR(INDEX(Carteira!$B$5:$B$204,MATCH(B582,Carteira!$A$5:$A$204,0)),"Obra não cadastrada"))</f>
        <v/>
      </c>
      <c r="D582" s="62"/>
      <c r="E582" s="62"/>
      <c r="F582" s="63"/>
    </row>
    <row r="583" spans="1:6" x14ac:dyDescent="0.3">
      <c r="A583" s="64"/>
      <c r="B583" s="61"/>
      <c r="C583" s="67" t="str">
        <f>IF(B583="","",IFERROR(INDEX(Carteira!$B$5:$B$204,MATCH(B583,Carteira!$A$5:$A$204,0)),"Obra não cadastrada"))</f>
        <v/>
      </c>
      <c r="D583" s="62"/>
      <c r="E583" s="62"/>
      <c r="F583" s="63"/>
    </row>
    <row r="584" spans="1:6" x14ac:dyDescent="0.3">
      <c r="A584" s="64"/>
      <c r="B584" s="61"/>
      <c r="C584" s="67" t="str">
        <f>IF(B584="","",IFERROR(INDEX(Carteira!$B$5:$B$204,MATCH(B584,Carteira!$A$5:$A$204,0)),"Obra não cadastrada"))</f>
        <v/>
      </c>
      <c r="D584" s="62"/>
      <c r="E584" s="62"/>
      <c r="F584" s="63"/>
    </row>
    <row r="585" spans="1:6" x14ac:dyDescent="0.3">
      <c r="A585" s="64"/>
      <c r="B585" s="61"/>
      <c r="C585" s="67" t="str">
        <f>IF(B585="","",IFERROR(INDEX(Carteira!$B$5:$B$204,MATCH(B585,Carteira!$A$5:$A$204,0)),"Obra não cadastrada"))</f>
        <v/>
      </c>
      <c r="D585" s="62"/>
      <c r="E585" s="62"/>
      <c r="F585" s="63"/>
    </row>
    <row r="586" spans="1:6" x14ac:dyDescent="0.3">
      <c r="A586" s="64"/>
      <c r="B586" s="61"/>
      <c r="C586" s="67" t="str">
        <f>IF(B586="","",IFERROR(INDEX(Carteira!$B$5:$B$204,MATCH(B586,Carteira!$A$5:$A$204,0)),"Obra não cadastrada"))</f>
        <v/>
      </c>
      <c r="D586" s="62"/>
      <c r="E586" s="62"/>
      <c r="F586" s="63"/>
    </row>
    <row r="587" spans="1:6" x14ac:dyDescent="0.3">
      <c r="A587" s="64"/>
      <c r="B587" s="61"/>
      <c r="C587" s="67" t="str">
        <f>IF(B587="","",IFERROR(INDEX(Carteira!$B$5:$B$204,MATCH(B587,Carteira!$A$5:$A$204,0)),"Obra não cadastrada"))</f>
        <v/>
      </c>
      <c r="D587" s="62"/>
      <c r="E587" s="62"/>
      <c r="F587" s="63"/>
    </row>
    <row r="588" spans="1:6" x14ac:dyDescent="0.3">
      <c r="A588" s="64"/>
      <c r="B588" s="61"/>
      <c r="C588" s="67" t="str">
        <f>IF(B588="","",IFERROR(INDEX(Carteira!$B$5:$B$204,MATCH(B588,Carteira!$A$5:$A$204,0)),"Obra não cadastrada"))</f>
        <v/>
      </c>
      <c r="D588" s="62"/>
      <c r="E588" s="62"/>
      <c r="F588" s="63"/>
    </row>
    <row r="589" spans="1:6" x14ac:dyDescent="0.3">
      <c r="A589" s="64"/>
      <c r="B589" s="61"/>
      <c r="C589" s="67" t="str">
        <f>IF(B589="","",IFERROR(INDEX(Carteira!$B$5:$B$204,MATCH(B589,Carteira!$A$5:$A$204,0)),"Obra não cadastrada"))</f>
        <v/>
      </c>
      <c r="D589" s="62"/>
      <c r="E589" s="62"/>
      <c r="F589" s="63"/>
    </row>
    <row r="590" spans="1:6" x14ac:dyDescent="0.3">
      <c r="A590" s="64"/>
      <c r="B590" s="61"/>
      <c r="C590" s="67" t="str">
        <f>IF(B590="","",IFERROR(INDEX(Carteira!$B$5:$B$204,MATCH(B590,Carteira!$A$5:$A$204,0)),"Obra não cadastrada"))</f>
        <v/>
      </c>
      <c r="D590" s="62"/>
      <c r="E590" s="62"/>
      <c r="F590" s="63"/>
    </row>
    <row r="591" spans="1:6" x14ac:dyDescent="0.3">
      <c r="A591" s="64"/>
      <c r="B591" s="61"/>
      <c r="C591" s="67" t="str">
        <f>IF(B591="","",IFERROR(INDEX(Carteira!$B$5:$B$204,MATCH(B591,Carteira!$A$5:$A$204,0)),"Obra não cadastrada"))</f>
        <v/>
      </c>
      <c r="D591" s="62"/>
      <c r="E591" s="62"/>
      <c r="F591" s="63"/>
    </row>
    <row r="592" spans="1:6" x14ac:dyDescent="0.3">
      <c r="A592" s="64"/>
      <c r="B592" s="61"/>
      <c r="C592" s="67" t="str">
        <f>IF(B592="","",IFERROR(INDEX(Carteira!$B$5:$B$204,MATCH(B592,Carteira!$A$5:$A$204,0)),"Obra não cadastrada"))</f>
        <v/>
      </c>
      <c r="D592" s="62"/>
      <c r="E592" s="62"/>
      <c r="F592" s="63"/>
    </row>
    <row r="593" spans="1:6" x14ac:dyDescent="0.3">
      <c r="A593" s="64"/>
      <c r="B593" s="61"/>
      <c r="C593" s="67" t="str">
        <f>IF(B593="","",IFERROR(INDEX(Carteira!$B$5:$B$204,MATCH(B593,Carteira!$A$5:$A$204,0)),"Obra não cadastrada"))</f>
        <v/>
      </c>
      <c r="D593" s="62"/>
      <c r="E593" s="62"/>
      <c r="F593" s="63"/>
    </row>
    <row r="594" spans="1:6" x14ac:dyDescent="0.3">
      <c r="A594" s="64"/>
      <c r="B594" s="61"/>
      <c r="C594" s="67" t="str">
        <f>IF(B594="","",IFERROR(INDEX(Carteira!$B$5:$B$204,MATCH(B594,Carteira!$A$5:$A$204,0)),"Obra não cadastrada"))</f>
        <v/>
      </c>
      <c r="D594" s="62"/>
      <c r="E594" s="62"/>
      <c r="F594" s="63"/>
    </row>
    <row r="595" spans="1:6" x14ac:dyDescent="0.3">
      <c r="A595" s="64"/>
      <c r="B595" s="61"/>
      <c r="C595" s="67" t="str">
        <f>IF(B595="","",IFERROR(INDEX(Carteira!$B$5:$B$204,MATCH(B595,Carteira!$A$5:$A$204,0)),"Obra não cadastrada"))</f>
        <v/>
      </c>
      <c r="D595" s="62"/>
      <c r="E595" s="62"/>
      <c r="F595" s="63"/>
    </row>
    <row r="596" spans="1:6" x14ac:dyDescent="0.3">
      <c r="A596" s="64"/>
      <c r="B596" s="61"/>
      <c r="C596" s="67" t="str">
        <f>IF(B596="","",IFERROR(INDEX(Carteira!$B$5:$B$204,MATCH(B596,Carteira!$A$5:$A$204,0)),"Obra não cadastrada"))</f>
        <v/>
      </c>
      <c r="D596" s="62"/>
      <c r="E596" s="62"/>
      <c r="F596" s="63"/>
    </row>
    <row r="597" spans="1:6" x14ac:dyDescent="0.3">
      <c r="A597" s="64"/>
      <c r="B597" s="61"/>
      <c r="C597" s="67" t="str">
        <f>IF(B597="","",IFERROR(INDEX(Carteira!$B$5:$B$204,MATCH(B597,Carteira!$A$5:$A$204,0)),"Obra não cadastrada"))</f>
        <v/>
      </c>
      <c r="D597" s="62"/>
      <c r="E597" s="62"/>
      <c r="F597" s="63"/>
    </row>
    <row r="598" spans="1:6" x14ac:dyDescent="0.3">
      <c r="A598" s="64"/>
      <c r="B598" s="61"/>
      <c r="C598" s="67" t="str">
        <f>IF(B598="","",IFERROR(INDEX(Carteira!$B$5:$B$204,MATCH(B598,Carteira!$A$5:$A$204,0)),"Obra não cadastrada"))</f>
        <v/>
      </c>
      <c r="D598" s="62"/>
      <c r="E598" s="62"/>
      <c r="F598" s="63"/>
    </row>
    <row r="599" spans="1:6" x14ac:dyDescent="0.3">
      <c r="A599" s="64"/>
      <c r="B599" s="61"/>
      <c r="C599" s="67" t="str">
        <f>IF(B599="","",IFERROR(INDEX(Carteira!$B$5:$B$204,MATCH(B599,Carteira!$A$5:$A$204,0)),"Obra não cadastrada"))</f>
        <v/>
      </c>
      <c r="D599" s="62"/>
      <c r="E599" s="62"/>
      <c r="F599" s="63"/>
    </row>
    <row r="600" spans="1:6" x14ac:dyDescent="0.3">
      <c r="A600" s="64"/>
      <c r="B600" s="61"/>
      <c r="C600" s="67" t="str">
        <f>IF(B600="","",IFERROR(INDEX(Carteira!$B$5:$B$204,MATCH(B600,Carteira!$A$5:$A$204,0)),"Obra não cadastrada"))</f>
        <v/>
      </c>
      <c r="D600" s="62"/>
      <c r="E600" s="62"/>
      <c r="F600" s="63"/>
    </row>
    <row r="601" spans="1:6" x14ac:dyDescent="0.3">
      <c r="A601" s="64"/>
      <c r="B601" s="61"/>
      <c r="C601" s="67" t="str">
        <f>IF(B601="","",IFERROR(INDEX(Carteira!$B$5:$B$204,MATCH(B601,Carteira!$A$5:$A$204,0)),"Obra não cadastrada"))</f>
        <v/>
      </c>
      <c r="D601" s="62"/>
      <c r="E601" s="62"/>
      <c r="F601" s="63"/>
    </row>
    <row r="602" spans="1:6" x14ac:dyDescent="0.3">
      <c r="A602" s="64"/>
      <c r="B602" s="61"/>
      <c r="C602" s="67" t="str">
        <f>IF(B602="","",IFERROR(INDEX(Carteira!$B$5:$B$204,MATCH(B602,Carteira!$A$5:$A$204,0)),"Obra não cadastrada"))</f>
        <v/>
      </c>
      <c r="D602" s="62"/>
      <c r="E602" s="62"/>
      <c r="F602" s="63"/>
    </row>
    <row r="603" spans="1:6" x14ac:dyDescent="0.3">
      <c r="A603" s="64"/>
      <c r="B603" s="61"/>
      <c r="C603" s="67" t="str">
        <f>IF(B603="","",IFERROR(INDEX(Carteira!$B$5:$B$204,MATCH(B603,Carteira!$A$5:$A$204,0)),"Obra não cadastrada"))</f>
        <v/>
      </c>
      <c r="D603" s="62"/>
      <c r="E603" s="62"/>
      <c r="F603" s="63"/>
    </row>
    <row r="604" spans="1:6" x14ac:dyDescent="0.3">
      <c r="A604" s="64"/>
      <c r="B604" s="61"/>
      <c r="C604" s="67" t="str">
        <f>IF(B604="","",IFERROR(INDEX(Carteira!$B$5:$B$204,MATCH(B604,Carteira!$A$5:$A$204,0)),"Obra não cadastrada"))</f>
        <v/>
      </c>
      <c r="D604" s="62"/>
      <c r="E604" s="62"/>
      <c r="F604" s="63"/>
    </row>
    <row r="605" spans="1:6" x14ac:dyDescent="0.3">
      <c r="A605" s="64"/>
      <c r="B605" s="61"/>
      <c r="C605" s="67" t="str">
        <f>IF(B605="","",IFERROR(INDEX(Carteira!$B$5:$B$204,MATCH(B605,Carteira!$A$5:$A$204,0)),"Obra não cadastrada"))</f>
        <v/>
      </c>
      <c r="D605" s="62"/>
      <c r="E605" s="62"/>
      <c r="F605" s="63"/>
    </row>
    <row r="606" spans="1:6" x14ac:dyDescent="0.3">
      <c r="A606" s="64"/>
      <c r="B606" s="61"/>
      <c r="C606" s="67" t="str">
        <f>IF(B606="","",IFERROR(INDEX(Carteira!$B$5:$B$204,MATCH(B606,Carteira!$A$5:$A$204,0)),"Obra não cadastrada"))</f>
        <v/>
      </c>
      <c r="D606" s="62"/>
      <c r="E606" s="62"/>
      <c r="F606" s="63"/>
    </row>
    <row r="607" spans="1:6" x14ac:dyDescent="0.3">
      <c r="A607" s="64"/>
      <c r="B607" s="61"/>
      <c r="C607" s="67" t="str">
        <f>IF(B607="","",IFERROR(INDEX(Carteira!$B$5:$B$204,MATCH(B607,Carteira!$A$5:$A$204,0)),"Obra não cadastrada"))</f>
        <v/>
      </c>
      <c r="D607" s="62"/>
      <c r="E607" s="62"/>
      <c r="F607" s="63"/>
    </row>
    <row r="608" spans="1:6" x14ac:dyDescent="0.3">
      <c r="A608" s="64"/>
      <c r="B608" s="61"/>
      <c r="C608" s="67" t="str">
        <f>IF(B608="","",IFERROR(INDEX(Carteira!$B$5:$B$204,MATCH(B608,Carteira!$A$5:$A$204,0)),"Obra não cadastrada"))</f>
        <v/>
      </c>
      <c r="D608" s="62"/>
      <c r="E608" s="62"/>
      <c r="F608" s="63"/>
    </row>
    <row r="609" spans="1:6" x14ac:dyDescent="0.3">
      <c r="A609" s="64"/>
      <c r="B609" s="61"/>
      <c r="C609" s="67" t="str">
        <f>IF(B609="","",IFERROR(INDEX(Carteira!$B$5:$B$204,MATCH(B609,Carteira!$A$5:$A$204,0)),"Obra não cadastrada"))</f>
        <v/>
      </c>
      <c r="D609" s="62"/>
      <c r="E609" s="62"/>
      <c r="F609" s="63"/>
    </row>
    <row r="610" spans="1:6" x14ac:dyDescent="0.3">
      <c r="A610" s="64"/>
      <c r="B610" s="61"/>
      <c r="C610" s="67" t="str">
        <f>IF(B610="","",IFERROR(INDEX(Carteira!$B$5:$B$204,MATCH(B610,Carteira!$A$5:$A$204,0)),"Obra não cadastrada"))</f>
        <v/>
      </c>
      <c r="D610" s="62"/>
      <c r="E610" s="62"/>
      <c r="F610" s="63"/>
    </row>
    <row r="611" spans="1:6" x14ac:dyDescent="0.3">
      <c r="A611" s="64"/>
      <c r="B611" s="61"/>
      <c r="C611" s="67" t="str">
        <f>IF(B611="","",IFERROR(INDEX(Carteira!$B$5:$B$204,MATCH(B611,Carteira!$A$5:$A$204,0)),"Obra não cadastrada"))</f>
        <v/>
      </c>
      <c r="D611" s="62"/>
      <c r="E611" s="62"/>
      <c r="F611" s="63"/>
    </row>
    <row r="612" spans="1:6" x14ac:dyDescent="0.3">
      <c r="A612" s="64"/>
      <c r="B612" s="61"/>
      <c r="C612" s="67" t="str">
        <f>IF(B612="","",IFERROR(INDEX(Carteira!$B$5:$B$204,MATCH(B612,Carteira!$A$5:$A$204,0)),"Obra não cadastrada"))</f>
        <v/>
      </c>
      <c r="D612" s="62"/>
      <c r="E612" s="62"/>
      <c r="F612" s="63"/>
    </row>
    <row r="613" spans="1:6" x14ac:dyDescent="0.3">
      <c r="A613" s="64"/>
      <c r="B613" s="61"/>
      <c r="C613" s="67" t="str">
        <f>IF(B613="","",IFERROR(INDEX(Carteira!$B$5:$B$204,MATCH(B613,Carteira!$A$5:$A$204,0)),"Obra não cadastrada"))</f>
        <v/>
      </c>
      <c r="D613" s="62"/>
      <c r="E613" s="62"/>
      <c r="F613" s="63"/>
    </row>
    <row r="614" spans="1:6" x14ac:dyDescent="0.3">
      <c r="A614" s="64"/>
      <c r="B614" s="61"/>
      <c r="C614" s="67" t="str">
        <f>IF(B614="","",IFERROR(INDEX(Carteira!$B$5:$B$204,MATCH(B614,Carteira!$A$5:$A$204,0)),"Obra não cadastrada"))</f>
        <v/>
      </c>
      <c r="D614" s="62"/>
      <c r="E614" s="62"/>
      <c r="F614" s="63"/>
    </row>
    <row r="615" spans="1:6" x14ac:dyDescent="0.3">
      <c r="A615" s="64"/>
      <c r="B615" s="61"/>
      <c r="C615" s="67" t="str">
        <f>IF(B615="","",IFERROR(INDEX(Carteira!$B$5:$B$204,MATCH(B615,Carteira!$A$5:$A$204,0)),"Obra não cadastrada"))</f>
        <v/>
      </c>
      <c r="D615" s="62"/>
      <c r="E615" s="62"/>
      <c r="F615" s="63"/>
    </row>
    <row r="616" spans="1:6" x14ac:dyDescent="0.3">
      <c r="A616" s="64"/>
      <c r="B616" s="61"/>
      <c r="C616" s="67" t="str">
        <f>IF(B616="","",IFERROR(INDEX(Carteira!$B$5:$B$204,MATCH(B616,Carteira!$A$5:$A$204,0)),"Obra não cadastrada"))</f>
        <v/>
      </c>
      <c r="D616" s="62"/>
      <c r="E616" s="62"/>
      <c r="F616" s="63"/>
    </row>
    <row r="617" spans="1:6" x14ac:dyDescent="0.3">
      <c r="A617" s="64"/>
      <c r="B617" s="61"/>
      <c r="C617" s="67" t="str">
        <f>IF(B617="","",IFERROR(INDEX(Carteira!$B$5:$B$204,MATCH(B617,Carteira!$A$5:$A$204,0)),"Obra não cadastrada"))</f>
        <v/>
      </c>
      <c r="D617" s="62"/>
      <c r="E617" s="62"/>
      <c r="F617" s="63"/>
    </row>
    <row r="618" spans="1:6" x14ac:dyDescent="0.3">
      <c r="A618" s="64"/>
      <c r="B618" s="61"/>
      <c r="C618" s="67" t="str">
        <f>IF(B618="","",IFERROR(INDEX(Carteira!$B$5:$B$204,MATCH(B618,Carteira!$A$5:$A$204,0)),"Obra não cadastrada"))</f>
        <v/>
      </c>
      <c r="D618" s="62"/>
      <c r="E618" s="62"/>
      <c r="F618" s="63"/>
    </row>
    <row r="619" spans="1:6" x14ac:dyDescent="0.3">
      <c r="A619" s="64"/>
      <c r="B619" s="61"/>
      <c r="C619" s="67" t="str">
        <f>IF(B619="","",IFERROR(INDEX(Carteira!$B$5:$B$204,MATCH(B619,Carteira!$A$5:$A$204,0)),"Obra não cadastrada"))</f>
        <v/>
      </c>
      <c r="D619" s="62"/>
      <c r="E619" s="62"/>
      <c r="F619" s="63"/>
    </row>
    <row r="620" spans="1:6" x14ac:dyDescent="0.3">
      <c r="A620" s="64"/>
      <c r="B620" s="61"/>
      <c r="C620" s="67" t="str">
        <f>IF(B620="","",IFERROR(INDEX(Carteira!$B$5:$B$204,MATCH(B620,Carteira!$A$5:$A$204,0)),"Obra não cadastrada"))</f>
        <v/>
      </c>
      <c r="D620" s="62"/>
      <c r="E620" s="62"/>
      <c r="F620" s="63"/>
    </row>
    <row r="621" spans="1:6" x14ac:dyDescent="0.3">
      <c r="A621" s="64"/>
      <c r="B621" s="61"/>
      <c r="C621" s="67" t="str">
        <f>IF(B621="","",IFERROR(INDEX(Carteira!$B$5:$B$204,MATCH(B621,Carteira!$A$5:$A$204,0)),"Obra não cadastrada"))</f>
        <v/>
      </c>
      <c r="D621" s="62"/>
      <c r="E621" s="62"/>
      <c r="F621" s="63"/>
    </row>
    <row r="622" spans="1:6" x14ac:dyDescent="0.3">
      <c r="A622" s="64"/>
      <c r="B622" s="61"/>
      <c r="C622" s="67" t="str">
        <f>IF(B622="","",IFERROR(INDEX(Carteira!$B$5:$B$204,MATCH(B622,Carteira!$A$5:$A$204,0)),"Obra não cadastrada"))</f>
        <v/>
      </c>
      <c r="D622" s="62"/>
      <c r="E622" s="62"/>
      <c r="F622" s="63"/>
    </row>
    <row r="623" spans="1:6" x14ac:dyDescent="0.3">
      <c r="A623" s="64"/>
      <c r="B623" s="61"/>
      <c r="C623" s="67" t="str">
        <f>IF(B623="","",IFERROR(INDEX(Carteira!$B$5:$B$204,MATCH(B623,Carteira!$A$5:$A$204,0)),"Obra não cadastrada"))</f>
        <v/>
      </c>
      <c r="D623" s="62"/>
      <c r="E623" s="62"/>
      <c r="F623" s="63"/>
    </row>
    <row r="624" spans="1:6" x14ac:dyDescent="0.3">
      <c r="A624" s="64"/>
      <c r="B624" s="61"/>
      <c r="C624" s="67" t="str">
        <f>IF(B624="","",IFERROR(INDEX(Carteira!$B$5:$B$204,MATCH(B624,Carteira!$A$5:$A$204,0)),"Obra não cadastrada"))</f>
        <v/>
      </c>
      <c r="D624" s="62"/>
      <c r="E624" s="62"/>
      <c r="F624" s="63"/>
    </row>
    <row r="625" spans="1:6" x14ac:dyDescent="0.3">
      <c r="A625" s="64"/>
      <c r="B625" s="61"/>
      <c r="C625" s="67" t="str">
        <f>IF(B625="","",IFERROR(INDEX(Carteira!$B$5:$B$204,MATCH(B625,Carteira!$A$5:$A$204,0)),"Obra não cadastrada"))</f>
        <v/>
      </c>
      <c r="D625" s="62"/>
      <c r="E625" s="62"/>
      <c r="F625" s="63"/>
    </row>
    <row r="626" spans="1:6" x14ac:dyDescent="0.3">
      <c r="A626" s="64"/>
      <c r="B626" s="61"/>
      <c r="C626" s="67" t="str">
        <f>IF(B626="","",IFERROR(INDEX(Carteira!$B$5:$B$204,MATCH(B626,Carteira!$A$5:$A$204,0)),"Obra não cadastrada"))</f>
        <v/>
      </c>
      <c r="D626" s="62"/>
      <c r="E626" s="62"/>
      <c r="F626" s="63"/>
    </row>
    <row r="627" spans="1:6" x14ac:dyDescent="0.3">
      <c r="A627" s="64"/>
      <c r="B627" s="61"/>
      <c r="C627" s="67" t="str">
        <f>IF(B627="","",IFERROR(INDEX(Carteira!$B$5:$B$204,MATCH(B627,Carteira!$A$5:$A$204,0)),"Obra não cadastrada"))</f>
        <v/>
      </c>
      <c r="D627" s="62"/>
      <c r="E627" s="62"/>
      <c r="F627" s="63"/>
    </row>
    <row r="628" spans="1:6" x14ac:dyDescent="0.3">
      <c r="A628" s="64"/>
      <c r="B628" s="61"/>
      <c r="C628" s="67" t="str">
        <f>IF(B628="","",IFERROR(INDEX(Carteira!$B$5:$B$204,MATCH(B628,Carteira!$A$5:$A$204,0)),"Obra não cadastrada"))</f>
        <v/>
      </c>
      <c r="D628" s="62"/>
      <c r="E628" s="62"/>
      <c r="F628" s="63"/>
    </row>
    <row r="629" spans="1:6" x14ac:dyDescent="0.3">
      <c r="A629" s="64"/>
      <c r="B629" s="61"/>
      <c r="C629" s="67" t="str">
        <f>IF(B629="","",IFERROR(INDEX(Carteira!$B$5:$B$204,MATCH(B629,Carteira!$A$5:$A$204,0)),"Obra não cadastrada"))</f>
        <v/>
      </c>
      <c r="D629" s="62"/>
      <c r="E629" s="62"/>
      <c r="F629" s="63"/>
    </row>
    <row r="630" spans="1:6" x14ac:dyDescent="0.3">
      <c r="A630" s="64"/>
      <c r="B630" s="61"/>
      <c r="C630" s="67" t="str">
        <f>IF(B630="","",IFERROR(INDEX(Carteira!$B$5:$B$204,MATCH(B630,Carteira!$A$5:$A$204,0)),"Obra não cadastrada"))</f>
        <v/>
      </c>
      <c r="D630" s="62"/>
      <c r="E630" s="62"/>
      <c r="F630" s="63"/>
    </row>
    <row r="631" spans="1:6" x14ac:dyDescent="0.3">
      <c r="A631" s="64"/>
      <c r="B631" s="61"/>
      <c r="C631" s="67" t="str">
        <f>IF(B631="","",IFERROR(INDEX(Carteira!$B$5:$B$204,MATCH(B631,Carteira!$A$5:$A$204,0)),"Obra não cadastrada"))</f>
        <v/>
      </c>
      <c r="D631" s="62"/>
      <c r="E631" s="62"/>
      <c r="F631" s="63"/>
    </row>
    <row r="632" spans="1:6" x14ac:dyDescent="0.3">
      <c r="A632" s="64"/>
      <c r="B632" s="61"/>
      <c r="C632" s="67" t="str">
        <f>IF(B632="","",IFERROR(INDEX(Carteira!$B$5:$B$204,MATCH(B632,Carteira!$A$5:$A$204,0)),"Obra não cadastrada"))</f>
        <v/>
      </c>
      <c r="D632" s="62"/>
      <c r="E632" s="62"/>
      <c r="F632" s="63"/>
    </row>
    <row r="633" spans="1:6" x14ac:dyDescent="0.3">
      <c r="A633" s="64"/>
      <c r="B633" s="61"/>
      <c r="C633" s="67" t="str">
        <f>IF(B633="","",IFERROR(INDEX(Carteira!$B$5:$B$204,MATCH(B633,Carteira!$A$5:$A$204,0)),"Obra não cadastrada"))</f>
        <v/>
      </c>
      <c r="D633" s="62"/>
      <c r="E633" s="62"/>
      <c r="F633" s="63"/>
    </row>
    <row r="634" spans="1:6" x14ac:dyDescent="0.3">
      <c r="A634" s="64"/>
      <c r="B634" s="61"/>
      <c r="C634" s="67" t="str">
        <f>IF(B634="","",IFERROR(INDEX(Carteira!$B$5:$B$204,MATCH(B634,Carteira!$A$5:$A$204,0)),"Obra não cadastrada"))</f>
        <v/>
      </c>
      <c r="D634" s="62"/>
      <c r="E634" s="62"/>
      <c r="F634" s="63"/>
    </row>
    <row r="635" spans="1:6" x14ac:dyDescent="0.3">
      <c r="A635" s="64"/>
      <c r="B635" s="61"/>
      <c r="C635" s="67" t="str">
        <f>IF(B635="","",IFERROR(INDEX(Carteira!$B$5:$B$204,MATCH(B635,Carteira!$A$5:$A$204,0)),"Obra não cadastrada"))</f>
        <v/>
      </c>
      <c r="D635" s="62"/>
      <c r="E635" s="62"/>
      <c r="F635" s="63"/>
    </row>
    <row r="636" spans="1:6" x14ac:dyDescent="0.3">
      <c r="A636" s="64"/>
      <c r="B636" s="61"/>
      <c r="C636" s="67" t="str">
        <f>IF(B636="","",IFERROR(INDEX(Carteira!$B$5:$B$204,MATCH(B636,Carteira!$A$5:$A$204,0)),"Obra não cadastrada"))</f>
        <v/>
      </c>
      <c r="D636" s="62"/>
      <c r="E636" s="62"/>
      <c r="F636" s="63"/>
    </row>
    <row r="637" spans="1:6" x14ac:dyDescent="0.3">
      <c r="A637" s="64"/>
      <c r="B637" s="61"/>
      <c r="C637" s="67" t="str">
        <f>IF(B637="","",IFERROR(INDEX(Carteira!$B$5:$B$204,MATCH(B637,Carteira!$A$5:$A$204,0)),"Obra não cadastrada"))</f>
        <v/>
      </c>
      <c r="D637" s="62"/>
      <c r="E637" s="62"/>
      <c r="F637" s="63"/>
    </row>
    <row r="638" spans="1:6" x14ac:dyDescent="0.3">
      <c r="A638" s="64"/>
      <c r="B638" s="61"/>
      <c r="C638" s="67" t="str">
        <f>IF(B638="","",IFERROR(INDEX(Carteira!$B$5:$B$204,MATCH(B638,Carteira!$A$5:$A$204,0)),"Obra não cadastrada"))</f>
        <v/>
      </c>
      <c r="D638" s="62"/>
      <c r="E638" s="62"/>
      <c r="F638" s="63"/>
    </row>
    <row r="639" spans="1:6" x14ac:dyDescent="0.3">
      <c r="A639" s="64"/>
      <c r="B639" s="61"/>
      <c r="C639" s="67" t="str">
        <f>IF(B639="","",IFERROR(INDEX(Carteira!$B$5:$B$204,MATCH(B639,Carteira!$A$5:$A$204,0)),"Obra não cadastrada"))</f>
        <v/>
      </c>
      <c r="D639" s="62"/>
      <c r="E639" s="62"/>
      <c r="F639" s="63"/>
    </row>
    <row r="640" spans="1:6" x14ac:dyDescent="0.3">
      <c r="A640" s="64"/>
      <c r="B640" s="61"/>
      <c r="C640" s="67" t="str">
        <f>IF(B640="","",IFERROR(INDEX(Carteira!$B$5:$B$204,MATCH(B640,Carteira!$A$5:$A$204,0)),"Obra não cadastrada"))</f>
        <v/>
      </c>
      <c r="D640" s="62"/>
      <c r="E640" s="62"/>
      <c r="F640" s="63"/>
    </row>
    <row r="641" spans="1:6" x14ac:dyDescent="0.3">
      <c r="A641" s="64"/>
      <c r="B641" s="61"/>
      <c r="C641" s="67" t="str">
        <f>IF(B641="","",IFERROR(INDEX(Carteira!$B$5:$B$204,MATCH(B641,Carteira!$A$5:$A$204,0)),"Obra não cadastrada"))</f>
        <v/>
      </c>
      <c r="D641" s="62"/>
      <c r="E641" s="62"/>
      <c r="F641" s="63"/>
    </row>
    <row r="642" spans="1:6" x14ac:dyDescent="0.3">
      <c r="A642" s="64"/>
      <c r="B642" s="61"/>
      <c r="C642" s="67" t="str">
        <f>IF(B642="","",IFERROR(INDEX(Carteira!$B$5:$B$204,MATCH(B642,Carteira!$A$5:$A$204,0)),"Obra não cadastrada"))</f>
        <v/>
      </c>
      <c r="D642" s="62"/>
      <c r="E642" s="62"/>
      <c r="F642" s="63"/>
    </row>
    <row r="643" spans="1:6" x14ac:dyDescent="0.3">
      <c r="A643" s="64"/>
      <c r="B643" s="61"/>
      <c r="C643" s="67" t="str">
        <f>IF(B643="","",IFERROR(INDEX(Carteira!$B$5:$B$204,MATCH(B643,Carteira!$A$5:$A$204,0)),"Obra não cadastrada"))</f>
        <v/>
      </c>
      <c r="D643" s="62"/>
      <c r="E643" s="62"/>
      <c r="F643" s="63"/>
    </row>
    <row r="644" spans="1:6" x14ac:dyDescent="0.3">
      <c r="A644" s="64"/>
      <c r="B644" s="61"/>
      <c r="C644" s="67" t="str">
        <f>IF(B644="","",IFERROR(INDEX(Carteira!$B$5:$B$204,MATCH(B644,Carteira!$A$5:$A$204,0)),"Obra não cadastrada"))</f>
        <v/>
      </c>
      <c r="D644" s="62"/>
      <c r="E644" s="62"/>
      <c r="F644" s="63"/>
    </row>
    <row r="645" spans="1:6" x14ac:dyDescent="0.3">
      <c r="A645" s="64"/>
      <c r="B645" s="61"/>
      <c r="C645" s="67" t="str">
        <f>IF(B645="","",IFERROR(INDEX(Carteira!$B$5:$B$204,MATCH(B645,Carteira!$A$5:$A$204,0)),"Obra não cadastrada"))</f>
        <v/>
      </c>
      <c r="D645" s="62"/>
      <c r="E645" s="62"/>
      <c r="F645" s="63"/>
    </row>
    <row r="646" spans="1:6" x14ac:dyDescent="0.3">
      <c r="A646" s="64"/>
      <c r="B646" s="61"/>
      <c r="C646" s="67" t="str">
        <f>IF(B646="","",IFERROR(INDEX(Carteira!$B$5:$B$204,MATCH(B646,Carteira!$A$5:$A$204,0)),"Obra não cadastrada"))</f>
        <v/>
      </c>
      <c r="D646" s="62"/>
      <c r="E646" s="62"/>
      <c r="F646" s="63"/>
    </row>
    <row r="647" spans="1:6" x14ac:dyDescent="0.3">
      <c r="A647" s="64"/>
      <c r="B647" s="61"/>
      <c r="C647" s="67" t="str">
        <f>IF(B647="","",IFERROR(INDEX(Carteira!$B$5:$B$204,MATCH(B647,Carteira!$A$5:$A$204,0)),"Obra não cadastrada"))</f>
        <v/>
      </c>
      <c r="D647" s="62"/>
      <c r="E647" s="62"/>
      <c r="F647" s="63"/>
    </row>
    <row r="648" spans="1:6" x14ac:dyDescent="0.3">
      <c r="A648" s="64"/>
      <c r="B648" s="61"/>
      <c r="C648" s="67" t="str">
        <f>IF(B648="","",IFERROR(INDEX(Carteira!$B$5:$B$204,MATCH(B648,Carteira!$A$5:$A$204,0)),"Obra não cadastrada"))</f>
        <v/>
      </c>
      <c r="D648" s="62"/>
      <c r="E648" s="62"/>
      <c r="F648" s="63"/>
    </row>
    <row r="649" spans="1:6" x14ac:dyDescent="0.3">
      <c r="A649" s="64"/>
      <c r="B649" s="61"/>
      <c r="C649" s="67" t="str">
        <f>IF(B649="","",IFERROR(INDEX(Carteira!$B$5:$B$204,MATCH(B649,Carteira!$A$5:$A$204,0)),"Obra não cadastrada"))</f>
        <v/>
      </c>
      <c r="D649" s="62"/>
      <c r="E649" s="62"/>
      <c r="F649" s="63"/>
    </row>
    <row r="650" spans="1:6" x14ac:dyDescent="0.3">
      <c r="A650" s="64"/>
      <c r="B650" s="61"/>
      <c r="C650" s="67" t="str">
        <f>IF(B650="","",IFERROR(INDEX(Carteira!$B$5:$B$204,MATCH(B650,Carteira!$A$5:$A$204,0)),"Obra não cadastrada"))</f>
        <v/>
      </c>
      <c r="D650" s="62"/>
      <c r="E650" s="62"/>
      <c r="F650" s="63"/>
    </row>
    <row r="651" spans="1:6" x14ac:dyDescent="0.3">
      <c r="A651" s="64"/>
      <c r="B651" s="61"/>
      <c r="C651" s="67" t="str">
        <f>IF(B651="","",IFERROR(INDEX(Carteira!$B$5:$B$204,MATCH(B651,Carteira!$A$5:$A$204,0)),"Obra não cadastrada"))</f>
        <v/>
      </c>
      <c r="D651" s="62"/>
      <c r="E651" s="62"/>
      <c r="F651" s="63"/>
    </row>
    <row r="652" spans="1:6" x14ac:dyDescent="0.3">
      <c r="A652" s="64"/>
      <c r="B652" s="61"/>
      <c r="C652" s="67" t="str">
        <f>IF(B652="","",IFERROR(INDEX(Carteira!$B$5:$B$204,MATCH(B652,Carteira!$A$5:$A$204,0)),"Obra não cadastrada"))</f>
        <v/>
      </c>
      <c r="D652" s="62"/>
      <c r="E652" s="62"/>
      <c r="F652" s="63"/>
    </row>
    <row r="653" spans="1:6" x14ac:dyDescent="0.3">
      <c r="A653" s="64"/>
      <c r="B653" s="61"/>
      <c r="C653" s="67" t="str">
        <f>IF(B653="","",IFERROR(INDEX(Carteira!$B$5:$B$204,MATCH(B653,Carteira!$A$5:$A$204,0)),"Obra não cadastrada"))</f>
        <v/>
      </c>
      <c r="D653" s="62"/>
      <c r="E653" s="62"/>
      <c r="F653" s="63"/>
    </row>
    <row r="654" spans="1:6" x14ac:dyDescent="0.3">
      <c r="A654" s="64"/>
      <c r="B654" s="61"/>
      <c r="C654" s="67" t="str">
        <f>IF(B654="","",IFERROR(INDEX(Carteira!$B$5:$B$204,MATCH(B654,Carteira!$A$5:$A$204,0)),"Obra não cadastrada"))</f>
        <v/>
      </c>
      <c r="D654" s="62"/>
      <c r="E654" s="62"/>
      <c r="F654" s="63"/>
    </row>
    <row r="655" spans="1:6" x14ac:dyDescent="0.3">
      <c r="A655" s="64"/>
      <c r="B655" s="61"/>
      <c r="C655" s="67" t="str">
        <f>IF(B655="","",IFERROR(INDEX(Carteira!$B$5:$B$204,MATCH(B655,Carteira!$A$5:$A$204,0)),"Obra não cadastrada"))</f>
        <v/>
      </c>
      <c r="D655" s="62"/>
      <c r="E655" s="62"/>
      <c r="F655" s="63"/>
    </row>
    <row r="656" spans="1:6" x14ac:dyDescent="0.3">
      <c r="A656" s="64"/>
      <c r="B656" s="61"/>
      <c r="C656" s="67" t="str">
        <f>IF(B656="","",IFERROR(INDEX(Carteira!$B$5:$B$204,MATCH(B656,Carteira!$A$5:$A$204,0)),"Obra não cadastrada"))</f>
        <v/>
      </c>
      <c r="D656" s="62"/>
      <c r="E656" s="62"/>
      <c r="F656" s="63"/>
    </row>
    <row r="657" spans="1:6" x14ac:dyDescent="0.3">
      <c r="A657" s="64"/>
      <c r="B657" s="61"/>
      <c r="C657" s="67" t="str">
        <f>IF(B657="","",IFERROR(INDEX(Carteira!$B$5:$B$204,MATCH(B657,Carteira!$A$5:$A$204,0)),"Obra não cadastrada"))</f>
        <v/>
      </c>
      <c r="D657" s="62"/>
      <c r="E657" s="62"/>
      <c r="F657" s="63"/>
    </row>
    <row r="658" spans="1:6" x14ac:dyDescent="0.3">
      <c r="A658" s="64"/>
      <c r="B658" s="61"/>
      <c r="C658" s="67" t="str">
        <f>IF(B658="","",IFERROR(INDEX(Carteira!$B$5:$B$204,MATCH(B658,Carteira!$A$5:$A$204,0)),"Obra não cadastrada"))</f>
        <v/>
      </c>
      <c r="D658" s="62"/>
      <c r="E658" s="62"/>
      <c r="F658" s="63"/>
    </row>
    <row r="659" spans="1:6" x14ac:dyDescent="0.3">
      <c r="A659" s="64"/>
      <c r="B659" s="61"/>
      <c r="C659" s="67" t="str">
        <f>IF(B659="","",IFERROR(INDEX(Carteira!$B$5:$B$204,MATCH(B659,Carteira!$A$5:$A$204,0)),"Obra não cadastrada"))</f>
        <v/>
      </c>
      <c r="D659" s="62"/>
      <c r="E659" s="62"/>
      <c r="F659" s="63"/>
    </row>
    <row r="660" spans="1:6" x14ac:dyDescent="0.3">
      <c r="A660" s="64"/>
      <c r="B660" s="61"/>
      <c r="C660" s="67" t="str">
        <f>IF(B660="","",IFERROR(INDEX(Carteira!$B$5:$B$204,MATCH(B660,Carteira!$A$5:$A$204,0)),"Obra não cadastrada"))</f>
        <v/>
      </c>
      <c r="D660" s="62"/>
      <c r="E660" s="62"/>
      <c r="F660" s="63"/>
    </row>
    <row r="661" spans="1:6" x14ac:dyDescent="0.3">
      <c r="A661" s="64"/>
      <c r="B661" s="61"/>
      <c r="C661" s="67" t="str">
        <f>IF(B661="","",IFERROR(INDEX(Carteira!$B$5:$B$204,MATCH(B661,Carteira!$A$5:$A$204,0)),"Obra não cadastrada"))</f>
        <v/>
      </c>
      <c r="D661" s="62"/>
      <c r="E661" s="62"/>
      <c r="F661" s="63"/>
    </row>
    <row r="662" spans="1:6" x14ac:dyDescent="0.3">
      <c r="A662" s="64"/>
      <c r="B662" s="61"/>
      <c r="C662" s="67" t="str">
        <f>IF(B662="","",IFERROR(INDEX(Carteira!$B$5:$B$204,MATCH(B662,Carteira!$A$5:$A$204,0)),"Obra não cadastrada"))</f>
        <v/>
      </c>
      <c r="D662" s="62"/>
      <c r="E662" s="62"/>
      <c r="F662" s="63"/>
    </row>
    <row r="663" spans="1:6" x14ac:dyDescent="0.3">
      <c r="A663" s="64"/>
      <c r="B663" s="61"/>
      <c r="C663" s="67" t="str">
        <f>IF(B663="","",IFERROR(INDEX(Carteira!$B$5:$B$204,MATCH(B663,Carteira!$A$5:$A$204,0)),"Obra não cadastrada"))</f>
        <v/>
      </c>
      <c r="D663" s="62"/>
      <c r="E663" s="62"/>
      <c r="F663" s="63"/>
    </row>
    <row r="664" spans="1:6" x14ac:dyDescent="0.3">
      <c r="A664" s="64"/>
      <c r="B664" s="61"/>
      <c r="C664" s="67" t="str">
        <f>IF(B664="","",IFERROR(INDEX(Carteira!$B$5:$B$204,MATCH(B664,Carteira!$A$5:$A$204,0)),"Obra não cadastrada"))</f>
        <v/>
      </c>
      <c r="D664" s="62"/>
      <c r="E664" s="62"/>
      <c r="F664" s="63"/>
    </row>
    <row r="665" spans="1:6" x14ac:dyDescent="0.3">
      <c r="A665" s="64"/>
      <c r="B665" s="61"/>
      <c r="C665" s="67" t="str">
        <f>IF(B665="","",IFERROR(INDEX(Carteira!$B$5:$B$204,MATCH(B665,Carteira!$A$5:$A$204,0)),"Obra não cadastrada"))</f>
        <v/>
      </c>
      <c r="D665" s="62"/>
      <c r="E665" s="62"/>
      <c r="F665" s="63"/>
    </row>
    <row r="666" spans="1:6" x14ac:dyDescent="0.3">
      <c r="A666" s="64"/>
      <c r="B666" s="61"/>
      <c r="C666" s="67" t="str">
        <f>IF(B666="","",IFERROR(INDEX(Carteira!$B$5:$B$204,MATCH(B666,Carteira!$A$5:$A$204,0)),"Obra não cadastrada"))</f>
        <v/>
      </c>
      <c r="D666" s="62"/>
      <c r="E666" s="62"/>
      <c r="F666" s="63"/>
    </row>
    <row r="667" spans="1:6" x14ac:dyDescent="0.3">
      <c r="A667" s="64"/>
      <c r="B667" s="61"/>
      <c r="C667" s="67" t="str">
        <f>IF(B667="","",IFERROR(INDEX(Carteira!$B$5:$B$204,MATCH(B667,Carteira!$A$5:$A$204,0)),"Obra não cadastrada"))</f>
        <v/>
      </c>
      <c r="D667" s="62"/>
      <c r="E667" s="62"/>
      <c r="F667" s="63"/>
    </row>
    <row r="668" spans="1:6" x14ac:dyDescent="0.3">
      <c r="A668" s="64"/>
      <c r="B668" s="61"/>
      <c r="C668" s="67" t="str">
        <f>IF(B668="","",IFERROR(INDEX(Carteira!$B$5:$B$204,MATCH(B668,Carteira!$A$5:$A$204,0)),"Obra não cadastrada"))</f>
        <v/>
      </c>
      <c r="D668" s="62"/>
      <c r="E668" s="62"/>
      <c r="F668" s="63"/>
    </row>
    <row r="669" spans="1:6" x14ac:dyDescent="0.3">
      <c r="A669" s="64"/>
      <c r="B669" s="61"/>
      <c r="C669" s="67" t="str">
        <f>IF(B669="","",IFERROR(INDEX(Carteira!$B$5:$B$204,MATCH(B669,Carteira!$A$5:$A$204,0)),"Obra não cadastrada"))</f>
        <v/>
      </c>
      <c r="D669" s="62"/>
      <c r="E669" s="62"/>
      <c r="F669" s="63"/>
    </row>
    <row r="670" spans="1:6" x14ac:dyDescent="0.3">
      <c r="A670" s="64"/>
      <c r="B670" s="61"/>
      <c r="C670" s="67" t="str">
        <f>IF(B670="","",IFERROR(INDEX(Carteira!$B$5:$B$204,MATCH(B670,Carteira!$A$5:$A$204,0)),"Obra não cadastrada"))</f>
        <v/>
      </c>
      <c r="D670" s="62"/>
      <c r="E670" s="62"/>
      <c r="F670" s="63"/>
    </row>
    <row r="671" spans="1:6" x14ac:dyDescent="0.3">
      <c r="A671" s="64"/>
      <c r="B671" s="61"/>
      <c r="C671" s="67" t="str">
        <f>IF(B671="","",IFERROR(INDEX(Carteira!$B$5:$B$204,MATCH(B671,Carteira!$A$5:$A$204,0)),"Obra não cadastrada"))</f>
        <v/>
      </c>
      <c r="D671" s="62"/>
      <c r="E671" s="62"/>
      <c r="F671" s="63"/>
    </row>
    <row r="672" spans="1:6" x14ac:dyDescent="0.3">
      <c r="A672" s="64"/>
      <c r="B672" s="61"/>
      <c r="C672" s="67" t="str">
        <f>IF(B672="","",IFERROR(INDEX(Carteira!$B$5:$B$204,MATCH(B672,Carteira!$A$5:$A$204,0)),"Obra não cadastrada"))</f>
        <v/>
      </c>
      <c r="D672" s="62"/>
      <c r="E672" s="62"/>
      <c r="F672" s="63"/>
    </row>
    <row r="673" spans="1:6" x14ac:dyDescent="0.3">
      <c r="A673" s="64"/>
      <c r="B673" s="61"/>
      <c r="C673" s="67" t="str">
        <f>IF(B673="","",IFERROR(INDEX(Carteira!$B$5:$B$204,MATCH(B673,Carteira!$A$5:$A$204,0)),"Obra não cadastrada"))</f>
        <v/>
      </c>
      <c r="D673" s="62"/>
      <c r="E673" s="62"/>
      <c r="F673" s="63"/>
    </row>
    <row r="674" spans="1:6" x14ac:dyDescent="0.3">
      <c r="A674" s="64"/>
      <c r="B674" s="61"/>
      <c r="C674" s="67" t="str">
        <f>IF(B674="","",IFERROR(INDEX(Carteira!$B$5:$B$204,MATCH(B674,Carteira!$A$5:$A$204,0)),"Obra não cadastrada"))</f>
        <v/>
      </c>
      <c r="D674" s="62"/>
      <c r="E674" s="62"/>
      <c r="F674" s="63"/>
    </row>
    <row r="675" spans="1:6" x14ac:dyDescent="0.3">
      <c r="A675" s="64"/>
      <c r="B675" s="61"/>
      <c r="C675" s="67" t="str">
        <f>IF(B675="","",IFERROR(INDEX(Carteira!$B$5:$B$204,MATCH(B675,Carteira!$A$5:$A$204,0)),"Obra não cadastrada"))</f>
        <v/>
      </c>
      <c r="D675" s="62"/>
      <c r="E675" s="62"/>
      <c r="F675" s="63"/>
    </row>
    <row r="676" spans="1:6" x14ac:dyDescent="0.3">
      <c r="A676" s="64"/>
      <c r="B676" s="61"/>
      <c r="C676" s="67" t="str">
        <f>IF(B676="","",IFERROR(INDEX(Carteira!$B$5:$B$204,MATCH(B676,Carteira!$A$5:$A$204,0)),"Obra não cadastrada"))</f>
        <v/>
      </c>
      <c r="D676" s="62"/>
      <c r="E676" s="62"/>
      <c r="F676" s="63"/>
    </row>
    <row r="677" spans="1:6" x14ac:dyDescent="0.3">
      <c r="A677" s="64"/>
      <c r="B677" s="61"/>
      <c r="C677" s="67" t="str">
        <f>IF(B677="","",IFERROR(INDEX(Carteira!$B$5:$B$204,MATCH(B677,Carteira!$A$5:$A$204,0)),"Obra não cadastrada"))</f>
        <v/>
      </c>
      <c r="D677" s="62"/>
      <c r="E677" s="62"/>
      <c r="F677" s="63"/>
    </row>
    <row r="678" spans="1:6" x14ac:dyDescent="0.3">
      <c r="A678" s="64"/>
      <c r="B678" s="61"/>
      <c r="C678" s="67" t="str">
        <f>IF(B678="","",IFERROR(INDEX(Carteira!$B$5:$B$204,MATCH(B678,Carteira!$A$5:$A$204,0)),"Obra não cadastrada"))</f>
        <v/>
      </c>
      <c r="D678" s="62"/>
      <c r="E678" s="62"/>
      <c r="F678" s="63"/>
    </row>
    <row r="679" spans="1:6" x14ac:dyDescent="0.3">
      <c r="A679" s="64"/>
      <c r="B679" s="61"/>
      <c r="C679" s="67" t="str">
        <f>IF(B679="","",IFERROR(INDEX(Carteira!$B$5:$B$204,MATCH(B679,Carteira!$A$5:$A$204,0)),"Obra não cadastrada"))</f>
        <v/>
      </c>
      <c r="D679" s="62"/>
      <c r="E679" s="62"/>
      <c r="F679" s="63"/>
    </row>
    <row r="680" spans="1:6" x14ac:dyDescent="0.3">
      <c r="A680" s="64"/>
      <c r="B680" s="61"/>
      <c r="C680" s="67" t="str">
        <f>IF(B680="","",IFERROR(INDEX(Carteira!$B$5:$B$204,MATCH(B680,Carteira!$A$5:$A$204,0)),"Obra não cadastrada"))</f>
        <v/>
      </c>
      <c r="D680" s="62"/>
      <c r="E680" s="62"/>
      <c r="F680" s="63"/>
    </row>
    <row r="681" spans="1:6" x14ac:dyDescent="0.3">
      <c r="A681" s="64"/>
      <c r="B681" s="61"/>
      <c r="C681" s="67" t="str">
        <f>IF(B681="","",IFERROR(INDEX(Carteira!$B$5:$B$204,MATCH(B681,Carteira!$A$5:$A$204,0)),"Obra não cadastrada"))</f>
        <v/>
      </c>
      <c r="D681" s="62"/>
      <c r="E681" s="62"/>
      <c r="F681" s="63"/>
    </row>
    <row r="682" spans="1:6" x14ac:dyDescent="0.3">
      <c r="A682" s="64"/>
      <c r="B682" s="61"/>
      <c r="C682" s="67" t="str">
        <f>IF(B682="","",IFERROR(INDEX(Carteira!$B$5:$B$204,MATCH(B682,Carteira!$A$5:$A$204,0)),"Obra não cadastrada"))</f>
        <v/>
      </c>
      <c r="D682" s="62"/>
      <c r="E682" s="62"/>
      <c r="F682" s="63"/>
    </row>
    <row r="683" spans="1:6" x14ac:dyDescent="0.3">
      <c r="A683" s="64"/>
      <c r="B683" s="61"/>
      <c r="C683" s="67" t="str">
        <f>IF(B683="","",IFERROR(INDEX(Carteira!$B$5:$B$204,MATCH(B683,Carteira!$A$5:$A$204,0)),"Obra não cadastrada"))</f>
        <v/>
      </c>
      <c r="D683" s="62"/>
      <c r="E683" s="62"/>
      <c r="F683" s="63"/>
    </row>
    <row r="684" spans="1:6" x14ac:dyDescent="0.3">
      <c r="A684" s="64"/>
      <c r="B684" s="61"/>
      <c r="C684" s="67" t="str">
        <f>IF(B684="","",IFERROR(INDEX(Carteira!$B$5:$B$204,MATCH(B684,Carteira!$A$5:$A$204,0)),"Obra não cadastrada"))</f>
        <v/>
      </c>
      <c r="D684" s="62"/>
      <c r="E684" s="62"/>
      <c r="F684" s="63"/>
    </row>
    <row r="685" spans="1:6" x14ac:dyDescent="0.3">
      <c r="A685" s="64"/>
      <c r="B685" s="61"/>
      <c r="C685" s="67" t="str">
        <f>IF(B685="","",IFERROR(INDEX(Carteira!$B$5:$B$204,MATCH(B685,Carteira!$A$5:$A$204,0)),"Obra não cadastrada"))</f>
        <v/>
      </c>
      <c r="D685" s="62"/>
      <c r="E685" s="62"/>
      <c r="F685" s="63"/>
    </row>
    <row r="686" spans="1:6" x14ac:dyDescent="0.3">
      <c r="A686" s="64"/>
      <c r="B686" s="61"/>
      <c r="C686" s="67" t="str">
        <f>IF(B686="","",IFERROR(INDEX(Carteira!$B$5:$B$204,MATCH(B686,Carteira!$A$5:$A$204,0)),"Obra não cadastrada"))</f>
        <v/>
      </c>
      <c r="D686" s="62"/>
      <c r="E686" s="62"/>
      <c r="F686" s="63"/>
    </row>
    <row r="687" spans="1:6" x14ac:dyDescent="0.3">
      <c r="A687" s="64"/>
      <c r="B687" s="61"/>
      <c r="C687" s="67" t="str">
        <f>IF(B687="","",IFERROR(INDEX(Carteira!$B$5:$B$204,MATCH(B687,Carteira!$A$5:$A$204,0)),"Obra não cadastrada"))</f>
        <v/>
      </c>
      <c r="D687" s="62"/>
      <c r="E687" s="62"/>
      <c r="F687" s="63"/>
    </row>
    <row r="688" spans="1:6" x14ac:dyDescent="0.3">
      <c r="A688" s="64"/>
      <c r="B688" s="61"/>
      <c r="C688" s="67" t="str">
        <f>IF(B688="","",IFERROR(INDEX(Carteira!$B$5:$B$204,MATCH(B688,Carteira!$A$5:$A$204,0)),"Obra não cadastrada"))</f>
        <v/>
      </c>
      <c r="D688" s="62"/>
      <c r="E688" s="62"/>
      <c r="F688" s="63"/>
    </row>
    <row r="689" spans="1:6" x14ac:dyDescent="0.3">
      <c r="A689" s="64"/>
      <c r="B689" s="61"/>
      <c r="C689" s="67" t="str">
        <f>IF(B689="","",IFERROR(INDEX(Carteira!$B$5:$B$204,MATCH(B689,Carteira!$A$5:$A$204,0)),"Obra não cadastrada"))</f>
        <v/>
      </c>
      <c r="D689" s="62"/>
      <c r="E689" s="62"/>
      <c r="F689" s="63"/>
    </row>
    <row r="690" spans="1:6" x14ac:dyDescent="0.3">
      <c r="A690" s="64"/>
      <c r="B690" s="61"/>
      <c r="C690" s="67" t="str">
        <f>IF(B690="","",IFERROR(INDEX(Carteira!$B$5:$B$204,MATCH(B690,Carteira!$A$5:$A$204,0)),"Obra não cadastrada"))</f>
        <v/>
      </c>
      <c r="D690" s="62"/>
      <c r="E690" s="62"/>
      <c r="F690" s="63"/>
    </row>
    <row r="691" spans="1:6" x14ac:dyDescent="0.3">
      <c r="A691" s="64"/>
      <c r="B691" s="61"/>
      <c r="C691" s="67" t="str">
        <f>IF(B691="","",IFERROR(INDEX(Carteira!$B$5:$B$204,MATCH(B691,Carteira!$A$5:$A$204,0)),"Obra não cadastrada"))</f>
        <v/>
      </c>
      <c r="D691" s="62"/>
      <c r="E691" s="62"/>
      <c r="F691" s="63"/>
    </row>
    <row r="692" spans="1:6" x14ac:dyDescent="0.3">
      <c r="A692" s="64"/>
      <c r="B692" s="61"/>
      <c r="C692" s="67" t="str">
        <f>IF(B692="","",IFERROR(INDEX(Carteira!$B$5:$B$204,MATCH(B692,Carteira!$A$5:$A$204,0)),"Obra não cadastrada"))</f>
        <v/>
      </c>
      <c r="D692" s="62"/>
      <c r="E692" s="62"/>
      <c r="F692" s="63"/>
    </row>
    <row r="693" spans="1:6" x14ac:dyDescent="0.3">
      <c r="A693" s="64"/>
      <c r="B693" s="61"/>
      <c r="C693" s="67" t="str">
        <f>IF(B693="","",IFERROR(INDEX(Carteira!$B$5:$B$204,MATCH(B693,Carteira!$A$5:$A$204,0)),"Obra não cadastrada"))</f>
        <v/>
      </c>
      <c r="D693" s="62"/>
      <c r="E693" s="62"/>
      <c r="F693" s="63"/>
    </row>
    <row r="694" spans="1:6" x14ac:dyDescent="0.3">
      <c r="A694" s="64"/>
      <c r="B694" s="61"/>
      <c r="C694" s="67" t="str">
        <f>IF(B694="","",IFERROR(INDEX(Carteira!$B$5:$B$204,MATCH(B694,Carteira!$A$5:$A$204,0)),"Obra não cadastrada"))</f>
        <v/>
      </c>
      <c r="D694" s="62"/>
      <c r="E694" s="62"/>
      <c r="F694" s="63"/>
    </row>
    <row r="695" spans="1:6" x14ac:dyDescent="0.3">
      <c r="A695" s="64"/>
      <c r="B695" s="61"/>
      <c r="C695" s="67" t="str">
        <f>IF(B695="","",IFERROR(INDEX(Carteira!$B$5:$B$204,MATCH(B695,Carteira!$A$5:$A$204,0)),"Obra não cadastrada"))</f>
        <v/>
      </c>
      <c r="D695" s="62"/>
      <c r="E695" s="62"/>
      <c r="F695" s="63"/>
    </row>
    <row r="696" spans="1:6" x14ac:dyDescent="0.3">
      <c r="A696" s="64"/>
      <c r="B696" s="61"/>
      <c r="C696" s="67" t="str">
        <f>IF(B696="","",IFERROR(INDEX(Carteira!$B$5:$B$204,MATCH(B696,Carteira!$A$5:$A$204,0)),"Obra não cadastrada"))</f>
        <v/>
      </c>
      <c r="D696" s="62"/>
      <c r="E696" s="62"/>
      <c r="F696" s="63"/>
    </row>
    <row r="697" spans="1:6" x14ac:dyDescent="0.3">
      <c r="A697" s="64"/>
      <c r="B697" s="61"/>
      <c r="C697" s="67" t="str">
        <f>IF(B697="","",IFERROR(INDEX(Carteira!$B$5:$B$204,MATCH(B697,Carteira!$A$5:$A$204,0)),"Obra não cadastrada"))</f>
        <v/>
      </c>
      <c r="D697" s="62"/>
      <c r="E697" s="62"/>
      <c r="F697" s="63"/>
    </row>
    <row r="698" spans="1:6" x14ac:dyDescent="0.3">
      <c r="A698" s="64"/>
      <c r="B698" s="61"/>
      <c r="C698" s="67" t="str">
        <f>IF(B698="","",IFERROR(INDEX(Carteira!$B$5:$B$204,MATCH(B698,Carteira!$A$5:$A$204,0)),"Obra não cadastrada"))</f>
        <v/>
      </c>
      <c r="D698" s="62"/>
      <c r="E698" s="62"/>
      <c r="F698" s="63"/>
    </row>
    <row r="699" spans="1:6" x14ac:dyDescent="0.3">
      <c r="A699" s="64"/>
      <c r="B699" s="61"/>
      <c r="C699" s="67" t="str">
        <f>IF(B699="","",IFERROR(INDEX(Carteira!$B$5:$B$204,MATCH(B699,Carteira!$A$5:$A$204,0)),"Obra não cadastrada"))</f>
        <v/>
      </c>
      <c r="D699" s="62"/>
      <c r="E699" s="62"/>
      <c r="F699" s="63"/>
    </row>
    <row r="700" spans="1:6" x14ac:dyDescent="0.3">
      <c r="A700" s="64"/>
      <c r="B700" s="61"/>
      <c r="C700" s="67" t="str">
        <f>IF(B700="","",IFERROR(INDEX(Carteira!$B$5:$B$204,MATCH(B700,Carteira!$A$5:$A$204,0)),"Obra não cadastrada"))</f>
        <v/>
      </c>
      <c r="D700" s="62"/>
      <c r="E700" s="62"/>
      <c r="F700" s="63"/>
    </row>
    <row r="701" spans="1:6" x14ac:dyDescent="0.3">
      <c r="A701" s="64"/>
      <c r="B701" s="61"/>
      <c r="C701" s="67" t="str">
        <f>IF(B701="","",IFERROR(INDEX(Carteira!$B$5:$B$204,MATCH(B701,Carteira!$A$5:$A$204,0)),"Obra não cadastrada"))</f>
        <v/>
      </c>
      <c r="D701" s="62"/>
      <c r="E701" s="62"/>
      <c r="F701" s="63"/>
    </row>
    <row r="702" spans="1:6" x14ac:dyDescent="0.3">
      <c r="A702" s="64"/>
      <c r="B702" s="61"/>
      <c r="C702" s="67" t="str">
        <f>IF(B702="","",IFERROR(INDEX(Carteira!$B$5:$B$204,MATCH(B702,Carteira!$A$5:$A$204,0)),"Obra não cadastrada"))</f>
        <v/>
      </c>
      <c r="D702" s="62"/>
      <c r="E702" s="62"/>
      <c r="F702" s="63"/>
    </row>
    <row r="703" spans="1:6" x14ac:dyDescent="0.3">
      <c r="A703" s="64"/>
      <c r="B703" s="61"/>
      <c r="C703" s="67" t="str">
        <f>IF(B703="","",IFERROR(INDEX(Carteira!$B$5:$B$204,MATCH(B703,Carteira!$A$5:$A$204,0)),"Obra não cadastrada"))</f>
        <v/>
      </c>
      <c r="D703" s="62"/>
      <c r="E703" s="62"/>
      <c r="F703" s="63"/>
    </row>
    <row r="704" spans="1:6" x14ac:dyDescent="0.3">
      <c r="A704" s="64"/>
      <c r="B704" s="61"/>
      <c r="C704" s="67" t="str">
        <f>IF(B704="","",IFERROR(INDEX(Carteira!$B$5:$B$204,MATCH(B704,Carteira!$A$5:$A$204,0)),"Obra não cadastrada"))</f>
        <v/>
      </c>
      <c r="D704" s="62"/>
      <c r="E704" s="62"/>
      <c r="F704" s="63"/>
    </row>
    <row r="705" spans="1:6" x14ac:dyDescent="0.3">
      <c r="A705" s="64"/>
      <c r="B705" s="61"/>
      <c r="C705" s="67" t="str">
        <f>IF(B705="","",IFERROR(INDEX(Carteira!$B$5:$B$204,MATCH(B705,Carteira!$A$5:$A$204,0)),"Obra não cadastrada"))</f>
        <v/>
      </c>
      <c r="D705" s="62"/>
      <c r="E705" s="62"/>
      <c r="F705" s="63"/>
    </row>
    <row r="706" spans="1:6" x14ac:dyDescent="0.3">
      <c r="A706" s="64"/>
      <c r="B706" s="61"/>
      <c r="C706" s="67" t="str">
        <f>IF(B706="","",IFERROR(INDEX(Carteira!$B$5:$B$204,MATCH(B706,Carteira!$A$5:$A$204,0)),"Obra não cadastrada"))</f>
        <v/>
      </c>
      <c r="D706" s="62"/>
      <c r="E706" s="62"/>
      <c r="F706" s="63"/>
    </row>
    <row r="707" spans="1:6" x14ac:dyDescent="0.3">
      <c r="A707" s="64"/>
      <c r="B707" s="61"/>
      <c r="C707" s="67" t="str">
        <f>IF(B707="","",IFERROR(INDEX(Carteira!$B$5:$B$204,MATCH(B707,Carteira!$A$5:$A$204,0)),"Obra não cadastrada"))</f>
        <v/>
      </c>
      <c r="D707" s="62"/>
      <c r="E707" s="62"/>
      <c r="F707" s="63"/>
    </row>
    <row r="708" spans="1:6" x14ac:dyDescent="0.3">
      <c r="A708" s="64"/>
      <c r="B708" s="61"/>
      <c r="C708" s="67" t="str">
        <f>IF(B708="","",IFERROR(INDEX(Carteira!$B$5:$B$204,MATCH(B708,Carteira!$A$5:$A$204,0)),"Obra não cadastrada"))</f>
        <v/>
      </c>
      <c r="D708" s="62"/>
      <c r="E708" s="62"/>
      <c r="F708" s="63"/>
    </row>
    <row r="709" spans="1:6" x14ac:dyDescent="0.3">
      <c r="A709" s="64"/>
      <c r="B709" s="61"/>
      <c r="C709" s="67" t="str">
        <f>IF(B709="","",IFERROR(INDEX(Carteira!$B$5:$B$204,MATCH(B709,Carteira!$A$5:$A$204,0)),"Obra não cadastrada"))</f>
        <v/>
      </c>
      <c r="D709" s="62"/>
      <c r="E709" s="62"/>
      <c r="F709" s="63"/>
    </row>
    <row r="710" spans="1:6" x14ac:dyDescent="0.3">
      <c r="A710" s="64"/>
      <c r="B710" s="61"/>
      <c r="C710" s="67" t="str">
        <f>IF(B710="","",IFERROR(INDEX(Carteira!$B$5:$B$204,MATCH(B710,Carteira!$A$5:$A$204,0)),"Obra não cadastrada"))</f>
        <v/>
      </c>
      <c r="D710" s="62"/>
      <c r="E710" s="62"/>
      <c r="F710" s="63"/>
    </row>
    <row r="711" spans="1:6" x14ac:dyDescent="0.3">
      <c r="A711" s="64"/>
      <c r="B711" s="61"/>
      <c r="C711" s="67" t="str">
        <f>IF(B711="","",IFERROR(INDEX(Carteira!$B$5:$B$204,MATCH(B711,Carteira!$A$5:$A$204,0)),"Obra não cadastrada"))</f>
        <v/>
      </c>
      <c r="D711" s="62"/>
      <c r="E711" s="62"/>
      <c r="F711" s="63"/>
    </row>
    <row r="712" spans="1:6" x14ac:dyDescent="0.3">
      <c r="A712" s="64"/>
      <c r="B712" s="61"/>
      <c r="C712" s="67" t="str">
        <f>IF(B712="","",IFERROR(INDEX(Carteira!$B$5:$B$204,MATCH(B712,Carteira!$A$5:$A$204,0)),"Obra não cadastrada"))</f>
        <v/>
      </c>
      <c r="D712" s="62"/>
      <c r="E712" s="62"/>
      <c r="F712" s="63"/>
    </row>
    <row r="713" spans="1:6" x14ac:dyDescent="0.3">
      <c r="A713" s="64"/>
      <c r="B713" s="61"/>
      <c r="C713" s="67" t="str">
        <f>IF(B713="","",IFERROR(INDEX(Carteira!$B$5:$B$204,MATCH(B713,Carteira!$A$5:$A$204,0)),"Obra não cadastrada"))</f>
        <v/>
      </c>
      <c r="D713" s="62"/>
      <c r="E713" s="62"/>
      <c r="F713" s="63"/>
    </row>
    <row r="714" spans="1:6" x14ac:dyDescent="0.3">
      <c r="A714" s="64"/>
      <c r="B714" s="61"/>
      <c r="C714" s="67" t="str">
        <f>IF(B714="","",IFERROR(INDEX(Carteira!$B$5:$B$204,MATCH(B714,Carteira!$A$5:$A$204,0)),"Obra não cadastrada"))</f>
        <v/>
      </c>
      <c r="D714" s="62"/>
      <c r="E714" s="62"/>
      <c r="F714" s="63"/>
    </row>
    <row r="715" spans="1:6" x14ac:dyDescent="0.3">
      <c r="A715" s="64"/>
      <c r="B715" s="61"/>
      <c r="C715" s="67" t="str">
        <f>IF(B715="","",IFERROR(INDEX(Carteira!$B$5:$B$204,MATCH(B715,Carteira!$A$5:$A$204,0)),"Obra não cadastrada"))</f>
        <v/>
      </c>
      <c r="D715" s="62"/>
      <c r="E715" s="62"/>
      <c r="F715" s="63"/>
    </row>
    <row r="716" spans="1:6" x14ac:dyDescent="0.3">
      <c r="A716" s="64"/>
      <c r="B716" s="61"/>
      <c r="C716" s="67" t="str">
        <f>IF(B716="","",IFERROR(INDEX(Carteira!$B$5:$B$204,MATCH(B716,Carteira!$A$5:$A$204,0)),"Obra não cadastrada"))</f>
        <v/>
      </c>
      <c r="D716" s="62"/>
      <c r="E716" s="62"/>
      <c r="F716" s="63"/>
    </row>
    <row r="717" spans="1:6" x14ac:dyDescent="0.3">
      <c r="A717" s="64"/>
      <c r="B717" s="61"/>
      <c r="C717" s="67" t="str">
        <f>IF(B717="","",IFERROR(INDEX(Carteira!$B$5:$B$204,MATCH(B717,Carteira!$A$5:$A$204,0)),"Obra não cadastrada"))</f>
        <v/>
      </c>
      <c r="D717" s="62"/>
      <c r="E717" s="62"/>
      <c r="F717" s="63"/>
    </row>
    <row r="718" spans="1:6" x14ac:dyDescent="0.3">
      <c r="A718" s="64"/>
      <c r="B718" s="61"/>
      <c r="C718" s="67" t="str">
        <f>IF(B718="","",IFERROR(INDEX(Carteira!$B$5:$B$204,MATCH(B718,Carteira!$A$5:$A$204,0)),"Obra não cadastrada"))</f>
        <v/>
      </c>
      <c r="D718" s="62"/>
      <c r="E718" s="62"/>
      <c r="F718" s="63"/>
    </row>
    <row r="719" spans="1:6" x14ac:dyDescent="0.3">
      <c r="A719" s="64"/>
      <c r="B719" s="61"/>
      <c r="C719" s="67" t="str">
        <f>IF(B719="","",IFERROR(INDEX(Carteira!$B$5:$B$204,MATCH(B719,Carteira!$A$5:$A$204,0)),"Obra não cadastrada"))</f>
        <v/>
      </c>
      <c r="D719" s="62"/>
      <c r="E719" s="62"/>
      <c r="F719" s="63"/>
    </row>
    <row r="720" spans="1:6" x14ac:dyDescent="0.3">
      <c r="A720" s="64"/>
      <c r="B720" s="61"/>
      <c r="C720" s="67" t="str">
        <f>IF(B720="","",IFERROR(INDEX(Carteira!$B$5:$B$204,MATCH(B720,Carteira!$A$5:$A$204,0)),"Obra não cadastrada"))</f>
        <v/>
      </c>
      <c r="D720" s="62"/>
      <c r="E720" s="62"/>
      <c r="F720" s="63"/>
    </row>
    <row r="721" spans="1:6" x14ac:dyDescent="0.3">
      <c r="A721" s="64"/>
      <c r="B721" s="61"/>
      <c r="C721" s="67" t="str">
        <f>IF(B721="","",IFERROR(INDEX(Carteira!$B$5:$B$204,MATCH(B721,Carteira!$A$5:$A$204,0)),"Obra não cadastrada"))</f>
        <v/>
      </c>
      <c r="D721" s="62"/>
      <c r="E721" s="62"/>
      <c r="F721" s="63"/>
    </row>
    <row r="722" spans="1:6" x14ac:dyDescent="0.3">
      <c r="A722" s="64"/>
      <c r="B722" s="61"/>
      <c r="C722" s="67" t="str">
        <f>IF(B722="","",IFERROR(INDEX(Carteira!$B$5:$B$204,MATCH(B722,Carteira!$A$5:$A$204,0)),"Obra não cadastrada"))</f>
        <v/>
      </c>
      <c r="D722" s="62"/>
      <c r="E722" s="62"/>
      <c r="F722" s="63"/>
    </row>
    <row r="723" spans="1:6" x14ac:dyDescent="0.3">
      <c r="A723" s="64"/>
      <c r="B723" s="61"/>
      <c r="C723" s="67" t="str">
        <f>IF(B723="","",IFERROR(INDEX(Carteira!$B$5:$B$204,MATCH(B723,Carteira!$A$5:$A$204,0)),"Obra não cadastrada"))</f>
        <v/>
      </c>
      <c r="D723" s="62"/>
      <c r="E723" s="62"/>
      <c r="F723" s="63"/>
    </row>
    <row r="724" spans="1:6" x14ac:dyDescent="0.3">
      <c r="A724" s="64"/>
      <c r="B724" s="61"/>
      <c r="C724" s="67" t="str">
        <f>IF(B724="","",IFERROR(INDEX(Carteira!$B$5:$B$204,MATCH(B724,Carteira!$A$5:$A$204,0)),"Obra não cadastrada"))</f>
        <v/>
      </c>
      <c r="D724" s="62"/>
      <c r="E724" s="62"/>
      <c r="F724" s="63"/>
    </row>
    <row r="725" spans="1:6" x14ac:dyDescent="0.3">
      <c r="A725" s="64"/>
      <c r="B725" s="61"/>
      <c r="C725" s="67" t="str">
        <f>IF(B725="","",IFERROR(INDEX(Carteira!$B$5:$B$204,MATCH(B725,Carteira!$A$5:$A$204,0)),"Obra não cadastrada"))</f>
        <v/>
      </c>
      <c r="D725" s="62"/>
      <c r="E725" s="62"/>
      <c r="F725" s="63"/>
    </row>
    <row r="726" spans="1:6" x14ac:dyDescent="0.3">
      <c r="A726" s="64"/>
      <c r="B726" s="61"/>
      <c r="C726" s="67" t="str">
        <f>IF(B726="","",IFERROR(INDEX(Carteira!$B$5:$B$204,MATCH(B726,Carteira!$A$5:$A$204,0)),"Obra não cadastrada"))</f>
        <v/>
      </c>
      <c r="D726" s="62"/>
      <c r="E726" s="62"/>
      <c r="F726" s="63"/>
    </row>
    <row r="727" spans="1:6" x14ac:dyDescent="0.3">
      <c r="A727" s="64"/>
      <c r="B727" s="61"/>
      <c r="C727" s="67" t="str">
        <f>IF(B727="","",IFERROR(INDEX(Carteira!$B$5:$B$204,MATCH(B727,Carteira!$A$5:$A$204,0)),"Obra não cadastrada"))</f>
        <v/>
      </c>
      <c r="D727" s="62"/>
      <c r="E727" s="62"/>
      <c r="F727" s="63"/>
    </row>
    <row r="728" spans="1:6" x14ac:dyDescent="0.3">
      <c r="A728" s="64"/>
      <c r="B728" s="61"/>
      <c r="C728" s="67" t="str">
        <f>IF(B728="","",IFERROR(INDEX(Carteira!$B$5:$B$204,MATCH(B728,Carteira!$A$5:$A$204,0)),"Obra não cadastrada"))</f>
        <v/>
      </c>
      <c r="D728" s="62"/>
      <c r="E728" s="62"/>
      <c r="F728" s="63"/>
    </row>
    <row r="729" spans="1:6" x14ac:dyDescent="0.3">
      <c r="A729" s="64"/>
      <c r="B729" s="61"/>
      <c r="C729" s="67" t="str">
        <f>IF(B729="","",IFERROR(INDEX(Carteira!$B$5:$B$204,MATCH(B729,Carteira!$A$5:$A$204,0)),"Obra não cadastrada"))</f>
        <v/>
      </c>
      <c r="D729" s="62"/>
      <c r="E729" s="62"/>
      <c r="F729" s="63"/>
    </row>
    <row r="730" spans="1:6" x14ac:dyDescent="0.3">
      <c r="A730" s="64"/>
      <c r="B730" s="61"/>
      <c r="C730" s="67" t="str">
        <f>IF(B730="","",IFERROR(INDEX(Carteira!$B$5:$B$204,MATCH(B730,Carteira!$A$5:$A$204,0)),"Obra não cadastrada"))</f>
        <v/>
      </c>
      <c r="D730" s="62"/>
      <c r="E730" s="62"/>
      <c r="F730" s="63"/>
    </row>
    <row r="731" spans="1:6" x14ac:dyDescent="0.3">
      <c r="A731" s="64"/>
      <c r="B731" s="61"/>
      <c r="C731" s="67" t="str">
        <f>IF(B731="","",IFERROR(INDEX(Carteira!$B$5:$B$204,MATCH(B731,Carteira!$A$5:$A$204,0)),"Obra não cadastrada"))</f>
        <v/>
      </c>
      <c r="D731" s="62"/>
      <c r="E731" s="62"/>
      <c r="F731" s="63"/>
    </row>
    <row r="732" spans="1:6" x14ac:dyDescent="0.3">
      <c r="A732" s="64"/>
      <c r="B732" s="61"/>
      <c r="C732" s="67" t="str">
        <f>IF(B732="","",IFERROR(INDEX(Carteira!$B$5:$B$204,MATCH(B732,Carteira!$A$5:$A$204,0)),"Obra não cadastrada"))</f>
        <v/>
      </c>
      <c r="D732" s="62"/>
      <c r="E732" s="62"/>
      <c r="F732" s="63"/>
    </row>
    <row r="733" spans="1:6" x14ac:dyDescent="0.3">
      <c r="A733" s="64"/>
      <c r="B733" s="61"/>
      <c r="C733" s="67" t="str">
        <f>IF(B733="","",IFERROR(INDEX(Carteira!$B$5:$B$204,MATCH(B733,Carteira!$A$5:$A$204,0)),"Obra não cadastrada"))</f>
        <v/>
      </c>
      <c r="D733" s="62"/>
      <c r="E733" s="62"/>
      <c r="F733" s="63"/>
    </row>
    <row r="734" spans="1:6" x14ac:dyDescent="0.3">
      <c r="A734" s="64"/>
      <c r="B734" s="61"/>
      <c r="C734" s="67" t="str">
        <f>IF(B734="","",IFERROR(INDEX(Carteira!$B$5:$B$204,MATCH(B734,Carteira!$A$5:$A$204,0)),"Obra não cadastrada"))</f>
        <v/>
      </c>
      <c r="D734" s="62"/>
      <c r="E734" s="62"/>
      <c r="F734" s="63"/>
    </row>
    <row r="735" spans="1:6" x14ac:dyDescent="0.3">
      <c r="A735" s="64"/>
      <c r="B735" s="61"/>
      <c r="C735" s="67" t="str">
        <f>IF(B735="","",IFERROR(INDEX(Carteira!$B$5:$B$204,MATCH(B735,Carteira!$A$5:$A$204,0)),"Obra não cadastrada"))</f>
        <v/>
      </c>
      <c r="D735" s="62"/>
      <c r="E735" s="62"/>
      <c r="F735" s="63"/>
    </row>
    <row r="736" spans="1:6" x14ac:dyDescent="0.3">
      <c r="A736" s="64"/>
      <c r="B736" s="61"/>
      <c r="C736" s="67" t="str">
        <f>IF(B736="","",IFERROR(INDEX(Carteira!$B$5:$B$204,MATCH(B736,Carteira!$A$5:$A$204,0)),"Obra não cadastrada"))</f>
        <v/>
      </c>
      <c r="D736" s="62"/>
      <c r="E736" s="62"/>
      <c r="F736" s="63"/>
    </row>
    <row r="737" spans="1:6" x14ac:dyDescent="0.3">
      <c r="A737" s="64"/>
      <c r="B737" s="61"/>
      <c r="C737" s="67" t="str">
        <f>IF(B737="","",IFERROR(INDEX(Carteira!$B$5:$B$204,MATCH(B737,Carteira!$A$5:$A$204,0)),"Obra não cadastrada"))</f>
        <v/>
      </c>
      <c r="D737" s="62"/>
      <c r="E737" s="62"/>
      <c r="F737" s="63"/>
    </row>
    <row r="738" spans="1:6" x14ac:dyDescent="0.3">
      <c r="A738" s="64"/>
      <c r="B738" s="61"/>
      <c r="C738" s="67" t="str">
        <f>IF(B738="","",IFERROR(INDEX(Carteira!$B$5:$B$204,MATCH(B738,Carteira!$A$5:$A$204,0)),"Obra não cadastrada"))</f>
        <v/>
      </c>
      <c r="D738" s="62"/>
      <c r="E738" s="62"/>
      <c r="F738" s="63"/>
    </row>
    <row r="739" spans="1:6" x14ac:dyDescent="0.3">
      <c r="A739" s="64"/>
      <c r="B739" s="61"/>
      <c r="C739" s="67" t="str">
        <f>IF(B739="","",IFERROR(INDEX(Carteira!$B$5:$B$204,MATCH(B739,Carteira!$A$5:$A$204,0)),"Obra não cadastrada"))</f>
        <v/>
      </c>
      <c r="D739" s="62"/>
      <c r="E739" s="62"/>
      <c r="F739" s="63"/>
    </row>
    <row r="740" spans="1:6" x14ac:dyDescent="0.3">
      <c r="A740" s="64"/>
      <c r="B740" s="61"/>
      <c r="C740" s="67" t="str">
        <f>IF(B740="","",IFERROR(INDEX(Carteira!$B$5:$B$204,MATCH(B740,Carteira!$A$5:$A$204,0)),"Obra não cadastrada"))</f>
        <v/>
      </c>
      <c r="D740" s="62"/>
      <c r="E740" s="62"/>
      <c r="F740" s="63"/>
    </row>
    <row r="741" spans="1:6" x14ac:dyDescent="0.3">
      <c r="A741" s="64"/>
      <c r="B741" s="61"/>
      <c r="C741" s="67" t="str">
        <f>IF(B741="","",IFERROR(INDEX(Carteira!$B$5:$B$204,MATCH(B741,Carteira!$A$5:$A$204,0)),"Obra não cadastrada"))</f>
        <v/>
      </c>
      <c r="D741" s="62"/>
      <c r="E741" s="62"/>
      <c r="F741" s="63"/>
    </row>
    <row r="742" spans="1:6" x14ac:dyDescent="0.3">
      <c r="A742" s="64"/>
      <c r="B742" s="61"/>
      <c r="C742" s="67" t="str">
        <f>IF(B742="","",IFERROR(INDEX(Carteira!$B$5:$B$204,MATCH(B742,Carteira!$A$5:$A$204,0)),"Obra não cadastrada"))</f>
        <v/>
      </c>
      <c r="D742" s="62"/>
      <c r="E742" s="62"/>
      <c r="F742" s="63"/>
    </row>
    <row r="743" spans="1:6" x14ac:dyDescent="0.3">
      <c r="A743" s="64"/>
      <c r="B743" s="61"/>
      <c r="C743" s="67" t="str">
        <f>IF(B743="","",IFERROR(INDEX(Carteira!$B$5:$B$204,MATCH(B743,Carteira!$A$5:$A$204,0)),"Obra não cadastrada"))</f>
        <v/>
      </c>
      <c r="D743" s="62"/>
      <c r="E743" s="62"/>
      <c r="F743" s="63"/>
    </row>
    <row r="744" spans="1:6" x14ac:dyDescent="0.3">
      <c r="A744" s="64"/>
      <c r="B744" s="61"/>
      <c r="C744" s="67" t="str">
        <f>IF(B744="","",IFERROR(INDEX(Carteira!$B$5:$B$204,MATCH(B744,Carteira!$A$5:$A$204,0)),"Obra não cadastrada"))</f>
        <v/>
      </c>
      <c r="D744" s="62"/>
      <c r="E744" s="62"/>
      <c r="F744" s="63"/>
    </row>
    <row r="745" spans="1:6" x14ac:dyDescent="0.3">
      <c r="A745" s="64"/>
      <c r="B745" s="61"/>
      <c r="C745" s="67" t="str">
        <f>IF(B745="","",IFERROR(INDEX(Carteira!$B$5:$B$204,MATCH(B745,Carteira!$A$5:$A$204,0)),"Obra não cadastrada"))</f>
        <v/>
      </c>
      <c r="D745" s="62"/>
      <c r="E745" s="62"/>
      <c r="F745" s="63"/>
    </row>
    <row r="746" spans="1:6" x14ac:dyDescent="0.3">
      <c r="A746" s="64"/>
      <c r="B746" s="61"/>
      <c r="C746" s="67" t="str">
        <f>IF(B746="","",IFERROR(INDEX(Carteira!$B$5:$B$204,MATCH(B746,Carteira!$A$5:$A$204,0)),"Obra não cadastrada"))</f>
        <v/>
      </c>
      <c r="D746" s="62"/>
      <c r="E746" s="62"/>
      <c r="F746" s="63"/>
    </row>
    <row r="747" spans="1:6" x14ac:dyDescent="0.3">
      <c r="A747" s="64"/>
      <c r="B747" s="61"/>
      <c r="C747" s="67" t="str">
        <f>IF(B747="","",IFERROR(INDEX(Carteira!$B$5:$B$204,MATCH(B747,Carteira!$A$5:$A$204,0)),"Obra não cadastrada"))</f>
        <v/>
      </c>
      <c r="D747" s="62"/>
      <c r="E747" s="62"/>
      <c r="F747" s="63"/>
    </row>
    <row r="748" spans="1:6" x14ac:dyDescent="0.3">
      <c r="A748" s="64"/>
      <c r="B748" s="61"/>
      <c r="C748" s="67" t="str">
        <f>IF(B748="","",IFERROR(INDEX(Carteira!$B$5:$B$204,MATCH(B748,Carteira!$A$5:$A$204,0)),"Obra não cadastrada"))</f>
        <v/>
      </c>
      <c r="D748" s="62"/>
      <c r="E748" s="62"/>
      <c r="F748" s="63"/>
    </row>
    <row r="749" spans="1:6" x14ac:dyDescent="0.3">
      <c r="A749" s="64"/>
      <c r="B749" s="61"/>
      <c r="C749" s="67" t="str">
        <f>IF(B749="","",IFERROR(INDEX(Carteira!$B$5:$B$204,MATCH(B749,Carteira!$A$5:$A$204,0)),"Obra não cadastrada"))</f>
        <v/>
      </c>
      <c r="D749" s="62"/>
      <c r="E749" s="62"/>
      <c r="F749" s="63"/>
    </row>
    <row r="750" spans="1:6" x14ac:dyDescent="0.3">
      <c r="A750" s="64"/>
      <c r="B750" s="61"/>
      <c r="C750" s="67" t="str">
        <f>IF(B750="","",IFERROR(INDEX(Carteira!$B$5:$B$204,MATCH(B750,Carteira!$A$5:$A$204,0)),"Obra não cadastrada"))</f>
        <v/>
      </c>
      <c r="D750" s="62"/>
      <c r="E750" s="62"/>
      <c r="F750" s="63"/>
    </row>
    <row r="751" spans="1:6" x14ac:dyDescent="0.3">
      <c r="A751" s="64"/>
      <c r="B751" s="61"/>
      <c r="C751" s="67" t="str">
        <f>IF(B751="","",IFERROR(INDEX(Carteira!$B$5:$B$204,MATCH(B751,Carteira!$A$5:$A$204,0)),"Obra não cadastrada"))</f>
        <v/>
      </c>
      <c r="D751" s="62"/>
      <c r="E751" s="62"/>
      <c r="F751" s="63"/>
    </row>
    <row r="752" spans="1:6" x14ac:dyDescent="0.3">
      <c r="A752" s="64"/>
      <c r="B752" s="61"/>
      <c r="C752" s="67" t="str">
        <f>IF(B752="","",IFERROR(INDEX(Carteira!$B$5:$B$204,MATCH(B752,Carteira!$A$5:$A$204,0)),"Obra não cadastrada"))</f>
        <v/>
      </c>
      <c r="D752" s="62"/>
      <c r="E752" s="62"/>
      <c r="F752" s="63"/>
    </row>
    <row r="753" spans="1:6" x14ac:dyDescent="0.3">
      <c r="A753" s="64"/>
      <c r="B753" s="61"/>
      <c r="C753" s="67" t="str">
        <f>IF(B753="","",IFERROR(INDEX(Carteira!$B$5:$B$204,MATCH(B753,Carteira!$A$5:$A$204,0)),"Obra não cadastrada"))</f>
        <v/>
      </c>
      <c r="D753" s="62"/>
      <c r="E753" s="62"/>
      <c r="F753" s="63"/>
    </row>
    <row r="754" spans="1:6" x14ac:dyDescent="0.3">
      <c r="A754" s="64"/>
      <c r="B754" s="61"/>
      <c r="C754" s="67" t="str">
        <f>IF(B754="","",IFERROR(INDEX(Carteira!$B$5:$B$204,MATCH(B754,Carteira!$A$5:$A$204,0)),"Obra não cadastrada"))</f>
        <v/>
      </c>
      <c r="D754" s="62"/>
      <c r="E754" s="62"/>
      <c r="F754" s="63"/>
    </row>
    <row r="755" spans="1:6" x14ac:dyDescent="0.3">
      <c r="A755" s="64"/>
      <c r="B755" s="61"/>
      <c r="C755" s="67" t="str">
        <f>IF(B755="","",IFERROR(INDEX(Carteira!$B$5:$B$204,MATCH(B755,Carteira!$A$5:$A$204,0)),"Obra não cadastrada"))</f>
        <v/>
      </c>
      <c r="D755" s="62"/>
      <c r="E755" s="62"/>
      <c r="F755" s="63"/>
    </row>
    <row r="756" spans="1:6" x14ac:dyDescent="0.3">
      <c r="A756" s="64"/>
      <c r="B756" s="61"/>
      <c r="C756" s="67" t="str">
        <f>IF(B756="","",IFERROR(INDEX(Carteira!$B$5:$B$204,MATCH(B756,Carteira!$A$5:$A$204,0)),"Obra não cadastrada"))</f>
        <v/>
      </c>
      <c r="D756" s="62"/>
      <c r="E756" s="62"/>
      <c r="F756" s="63"/>
    </row>
    <row r="757" spans="1:6" x14ac:dyDescent="0.3">
      <c r="A757" s="64"/>
      <c r="B757" s="61"/>
      <c r="C757" s="67" t="str">
        <f>IF(B757="","",IFERROR(INDEX(Carteira!$B$5:$B$204,MATCH(B757,Carteira!$A$5:$A$204,0)),"Obra não cadastrada"))</f>
        <v/>
      </c>
      <c r="D757" s="62"/>
      <c r="E757" s="62"/>
      <c r="F757" s="63"/>
    </row>
    <row r="758" spans="1:6" x14ac:dyDescent="0.3">
      <c r="A758" s="64"/>
      <c r="B758" s="61"/>
      <c r="C758" s="67" t="str">
        <f>IF(B758="","",IFERROR(INDEX(Carteira!$B$5:$B$204,MATCH(B758,Carteira!$A$5:$A$204,0)),"Obra não cadastrada"))</f>
        <v/>
      </c>
      <c r="D758" s="62"/>
      <c r="E758" s="62"/>
      <c r="F758" s="63"/>
    </row>
    <row r="759" spans="1:6" x14ac:dyDescent="0.3">
      <c r="A759" s="64"/>
      <c r="B759" s="61"/>
      <c r="C759" s="67" t="str">
        <f>IF(B759="","",IFERROR(INDEX(Carteira!$B$5:$B$204,MATCH(B759,Carteira!$A$5:$A$204,0)),"Obra não cadastrada"))</f>
        <v/>
      </c>
      <c r="D759" s="62"/>
      <c r="E759" s="62"/>
      <c r="F759" s="63"/>
    </row>
    <row r="760" spans="1:6" x14ac:dyDescent="0.3">
      <c r="A760" s="64"/>
      <c r="B760" s="61"/>
      <c r="C760" s="67" t="str">
        <f>IF(B760="","",IFERROR(INDEX(Carteira!$B$5:$B$204,MATCH(B760,Carteira!$A$5:$A$204,0)),"Obra não cadastrada"))</f>
        <v/>
      </c>
      <c r="D760" s="62"/>
      <c r="E760" s="62"/>
      <c r="F760" s="63"/>
    </row>
    <row r="761" spans="1:6" x14ac:dyDescent="0.3">
      <c r="A761" s="64"/>
      <c r="B761" s="61"/>
      <c r="C761" s="67" t="str">
        <f>IF(B761="","",IFERROR(INDEX(Carteira!$B$5:$B$204,MATCH(B761,Carteira!$A$5:$A$204,0)),"Obra não cadastrada"))</f>
        <v/>
      </c>
      <c r="D761" s="62"/>
      <c r="E761" s="62"/>
      <c r="F761" s="63"/>
    </row>
    <row r="762" spans="1:6" x14ac:dyDescent="0.3">
      <c r="A762" s="64"/>
      <c r="B762" s="61"/>
      <c r="C762" s="67" t="str">
        <f>IF(B762="","",IFERROR(INDEX(Carteira!$B$5:$B$204,MATCH(B762,Carteira!$A$5:$A$204,0)),"Obra não cadastrada"))</f>
        <v/>
      </c>
      <c r="D762" s="62"/>
      <c r="E762" s="62"/>
      <c r="F762" s="63"/>
    </row>
    <row r="763" spans="1:6" x14ac:dyDescent="0.3">
      <c r="A763" s="64"/>
      <c r="B763" s="61"/>
      <c r="C763" s="67" t="str">
        <f>IF(B763="","",IFERROR(INDEX(Carteira!$B$5:$B$204,MATCH(B763,Carteira!$A$5:$A$204,0)),"Obra não cadastrada"))</f>
        <v/>
      </c>
      <c r="D763" s="62"/>
      <c r="E763" s="62"/>
      <c r="F763" s="63"/>
    </row>
    <row r="764" spans="1:6" x14ac:dyDescent="0.3">
      <c r="A764" s="64"/>
      <c r="B764" s="61"/>
      <c r="C764" s="67" t="str">
        <f>IF(B764="","",IFERROR(INDEX(Carteira!$B$5:$B$204,MATCH(B764,Carteira!$A$5:$A$204,0)),"Obra não cadastrada"))</f>
        <v/>
      </c>
      <c r="D764" s="62"/>
      <c r="E764" s="62"/>
      <c r="F764" s="63"/>
    </row>
    <row r="765" spans="1:6" x14ac:dyDescent="0.3">
      <c r="A765" s="64"/>
      <c r="B765" s="61"/>
      <c r="C765" s="67" t="str">
        <f>IF(B765="","",IFERROR(INDEX(Carteira!$B$5:$B$204,MATCH(B765,Carteira!$A$5:$A$204,0)),"Obra não cadastrada"))</f>
        <v/>
      </c>
      <c r="D765" s="62"/>
      <c r="E765" s="62"/>
      <c r="F765" s="63"/>
    </row>
    <row r="766" spans="1:6" x14ac:dyDescent="0.3">
      <c r="A766" s="64"/>
      <c r="B766" s="61"/>
      <c r="C766" s="67" t="str">
        <f>IF(B766="","",IFERROR(INDEX(Carteira!$B$5:$B$204,MATCH(B766,Carteira!$A$5:$A$204,0)),"Obra não cadastrada"))</f>
        <v/>
      </c>
      <c r="D766" s="62"/>
      <c r="E766" s="62"/>
      <c r="F766" s="63"/>
    </row>
    <row r="767" spans="1:6" x14ac:dyDescent="0.3">
      <c r="A767" s="64"/>
      <c r="B767" s="61"/>
      <c r="C767" s="67" t="str">
        <f>IF(B767="","",IFERROR(INDEX(Carteira!$B$5:$B$204,MATCH(B767,Carteira!$A$5:$A$204,0)),"Obra não cadastrada"))</f>
        <v/>
      </c>
      <c r="D767" s="62"/>
      <c r="E767" s="62"/>
      <c r="F767" s="63"/>
    </row>
    <row r="768" spans="1:6" x14ac:dyDescent="0.3">
      <c r="A768" s="64"/>
      <c r="B768" s="61"/>
      <c r="C768" s="67" t="str">
        <f>IF(B768="","",IFERROR(INDEX(Carteira!$B$5:$B$204,MATCH(B768,Carteira!$A$5:$A$204,0)),"Obra não cadastrada"))</f>
        <v/>
      </c>
      <c r="D768" s="62"/>
      <c r="E768" s="62"/>
      <c r="F768" s="63"/>
    </row>
    <row r="769" spans="1:6" x14ac:dyDescent="0.3">
      <c r="A769" s="64"/>
      <c r="B769" s="61"/>
      <c r="C769" s="67" t="str">
        <f>IF(B769="","",IFERROR(INDEX(Carteira!$B$5:$B$204,MATCH(B769,Carteira!$A$5:$A$204,0)),"Obra não cadastrada"))</f>
        <v/>
      </c>
      <c r="D769" s="62"/>
      <c r="E769" s="62"/>
      <c r="F769" s="63"/>
    </row>
    <row r="770" spans="1:6" x14ac:dyDescent="0.3">
      <c r="A770" s="64"/>
      <c r="B770" s="61"/>
      <c r="C770" s="67" t="str">
        <f>IF(B770="","",IFERROR(INDEX(Carteira!$B$5:$B$204,MATCH(B770,Carteira!$A$5:$A$204,0)),"Obra não cadastrada"))</f>
        <v/>
      </c>
      <c r="D770" s="62"/>
      <c r="E770" s="62"/>
      <c r="F770" s="63"/>
    </row>
    <row r="771" spans="1:6" x14ac:dyDescent="0.3">
      <c r="A771" s="64"/>
      <c r="B771" s="61"/>
      <c r="C771" s="67" t="str">
        <f>IF(B771="","",IFERROR(INDEX(Carteira!$B$5:$B$204,MATCH(B771,Carteira!$A$5:$A$204,0)),"Obra não cadastrada"))</f>
        <v/>
      </c>
      <c r="D771" s="62"/>
      <c r="E771" s="62"/>
      <c r="F771" s="63"/>
    </row>
    <row r="772" spans="1:6" x14ac:dyDescent="0.3">
      <c r="A772" s="64"/>
      <c r="B772" s="61"/>
      <c r="C772" s="67" t="str">
        <f>IF(B772="","",IFERROR(INDEX(Carteira!$B$5:$B$204,MATCH(B772,Carteira!$A$5:$A$204,0)),"Obra não cadastrada"))</f>
        <v/>
      </c>
      <c r="D772" s="62"/>
      <c r="E772" s="62"/>
      <c r="F772" s="63"/>
    </row>
    <row r="773" spans="1:6" x14ac:dyDescent="0.3">
      <c r="A773" s="64"/>
      <c r="B773" s="61"/>
      <c r="C773" s="67" t="str">
        <f>IF(B773="","",IFERROR(INDEX(Carteira!$B$5:$B$204,MATCH(B773,Carteira!$A$5:$A$204,0)),"Obra não cadastrada"))</f>
        <v/>
      </c>
      <c r="D773" s="62"/>
      <c r="E773" s="62"/>
      <c r="F773" s="63"/>
    </row>
    <row r="774" spans="1:6" x14ac:dyDescent="0.3">
      <c r="A774" s="64"/>
      <c r="B774" s="61"/>
      <c r="C774" s="67" t="str">
        <f>IF(B774="","",IFERROR(INDEX(Carteira!$B$5:$B$204,MATCH(B774,Carteira!$A$5:$A$204,0)),"Obra não cadastrada"))</f>
        <v/>
      </c>
      <c r="D774" s="62"/>
      <c r="E774" s="62"/>
      <c r="F774" s="63"/>
    </row>
    <row r="775" spans="1:6" x14ac:dyDescent="0.3">
      <c r="A775" s="64"/>
      <c r="B775" s="61"/>
      <c r="C775" s="67" t="str">
        <f>IF(B775="","",IFERROR(INDEX(Carteira!$B$5:$B$204,MATCH(B775,Carteira!$A$5:$A$204,0)),"Obra não cadastrada"))</f>
        <v/>
      </c>
      <c r="D775" s="62"/>
      <c r="E775" s="62"/>
      <c r="F775" s="63"/>
    </row>
    <row r="776" spans="1:6" x14ac:dyDescent="0.3">
      <c r="A776" s="64"/>
      <c r="B776" s="61"/>
      <c r="C776" s="67" t="str">
        <f>IF(B776="","",IFERROR(INDEX(Carteira!$B$5:$B$204,MATCH(B776,Carteira!$A$5:$A$204,0)),"Obra não cadastrada"))</f>
        <v/>
      </c>
      <c r="D776" s="62"/>
      <c r="E776" s="62"/>
      <c r="F776" s="63"/>
    </row>
    <row r="777" spans="1:6" x14ac:dyDescent="0.3">
      <c r="A777" s="64"/>
      <c r="B777" s="61"/>
      <c r="C777" s="67" t="str">
        <f>IF(B777="","",IFERROR(INDEX(Carteira!$B$5:$B$204,MATCH(B777,Carteira!$A$5:$A$204,0)),"Obra não cadastrada"))</f>
        <v/>
      </c>
      <c r="D777" s="62"/>
      <c r="E777" s="62"/>
      <c r="F777" s="63"/>
    </row>
    <row r="778" spans="1:6" x14ac:dyDescent="0.3">
      <c r="A778" s="64"/>
      <c r="B778" s="61"/>
      <c r="C778" s="67" t="str">
        <f>IF(B778="","",IFERROR(INDEX(Carteira!$B$5:$B$204,MATCH(B778,Carteira!$A$5:$A$204,0)),"Obra não cadastrada"))</f>
        <v/>
      </c>
      <c r="D778" s="62"/>
      <c r="E778" s="62"/>
      <c r="F778" s="63"/>
    </row>
    <row r="779" spans="1:6" x14ac:dyDescent="0.3">
      <c r="A779" s="64"/>
      <c r="B779" s="61"/>
      <c r="C779" s="67" t="str">
        <f>IF(B779="","",IFERROR(INDEX(Carteira!$B$5:$B$204,MATCH(B779,Carteira!$A$5:$A$204,0)),"Obra não cadastrada"))</f>
        <v/>
      </c>
      <c r="D779" s="62"/>
      <c r="E779" s="62"/>
      <c r="F779" s="63"/>
    </row>
    <row r="780" spans="1:6" x14ac:dyDescent="0.3">
      <c r="A780" s="64"/>
      <c r="B780" s="61"/>
      <c r="C780" s="67" t="str">
        <f>IF(B780="","",IFERROR(INDEX(Carteira!$B$5:$B$204,MATCH(B780,Carteira!$A$5:$A$204,0)),"Obra não cadastrada"))</f>
        <v/>
      </c>
      <c r="D780" s="62"/>
      <c r="E780" s="62"/>
      <c r="F780" s="63"/>
    </row>
    <row r="781" spans="1:6" x14ac:dyDescent="0.3">
      <c r="A781" s="64"/>
      <c r="B781" s="61"/>
      <c r="C781" s="67" t="str">
        <f>IF(B781="","",IFERROR(INDEX(Carteira!$B$5:$B$204,MATCH(B781,Carteira!$A$5:$A$204,0)),"Obra não cadastrada"))</f>
        <v/>
      </c>
      <c r="D781" s="62"/>
      <c r="E781" s="62"/>
      <c r="F781" s="63"/>
    </row>
    <row r="782" spans="1:6" x14ac:dyDescent="0.3">
      <c r="A782" s="64"/>
      <c r="B782" s="61"/>
      <c r="C782" s="67" t="str">
        <f>IF(B782="","",IFERROR(INDEX(Carteira!$B$5:$B$204,MATCH(B782,Carteira!$A$5:$A$204,0)),"Obra não cadastrada"))</f>
        <v/>
      </c>
      <c r="D782" s="62"/>
      <c r="E782" s="62"/>
      <c r="F782" s="63"/>
    </row>
    <row r="783" spans="1:6" x14ac:dyDescent="0.3">
      <c r="A783" s="64"/>
      <c r="B783" s="61"/>
      <c r="C783" s="67" t="str">
        <f>IF(B783="","",IFERROR(INDEX(Carteira!$B$5:$B$204,MATCH(B783,Carteira!$A$5:$A$204,0)),"Obra não cadastrada"))</f>
        <v/>
      </c>
      <c r="D783" s="62"/>
      <c r="E783" s="62"/>
      <c r="F783" s="63"/>
    </row>
    <row r="784" spans="1:6" x14ac:dyDescent="0.3">
      <c r="A784" s="64"/>
      <c r="B784" s="61"/>
      <c r="C784" s="67" t="str">
        <f>IF(B784="","",IFERROR(INDEX(Carteira!$B$5:$B$204,MATCH(B784,Carteira!$A$5:$A$204,0)),"Obra não cadastrada"))</f>
        <v/>
      </c>
      <c r="D784" s="62"/>
      <c r="E784" s="62"/>
      <c r="F784" s="63"/>
    </row>
    <row r="785" spans="1:6" x14ac:dyDescent="0.3">
      <c r="A785" s="64"/>
      <c r="B785" s="61"/>
      <c r="C785" s="67" t="str">
        <f>IF(B785="","",IFERROR(INDEX(Carteira!$B$5:$B$204,MATCH(B785,Carteira!$A$5:$A$204,0)),"Obra não cadastrada"))</f>
        <v/>
      </c>
      <c r="D785" s="62"/>
      <c r="E785" s="62"/>
      <c r="F785" s="63"/>
    </row>
    <row r="786" spans="1:6" x14ac:dyDescent="0.3">
      <c r="A786" s="64"/>
      <c r="B786" s="61"/>
      <c r="C786" s="67" t="str">
        <f>IF(B786="","",IFERROR(INDEX(Carteira!$B$5:$B$204,MATCH(B786,Carteira!$A$5:$A$204,0)),"Obra não cadastrada"))</f>
        <v/>
      </c>
      <c r="D786" s="62"/>
      <c r="E786" s="62"/>
      <c r="F786" s="63"/>
    </row>
    <row r="787" spans="1:6" x14ac:dyDescent="0.3">
      <c r="A787" s="64"/>
      <c r="B787" s="61"/>
      <c r="C787" s="67" t="str">
        <f>IF(B787="","",IFERROR(INDEX(Carteira!$B$5:$B$204,MATCH(B787,Carteira!$A$5:$A$204,0)),"Obra não cadastrada"))</f>
        <v/>
      </c>
      <c r="D787" s="62"/>
      <c r="E787" s="62"/>
      <c r="F787" s="63"/>
    </row>
    <row r="788" spans="1:6" x14ac:dyDescent="0.3">
      <c r="A788" s="64"/>
      <c r="B788" s="61"/>
      <c r="C788" s="67" t="str">
        <f>IF(B788="","",IFERROR(INDEX(Carteira!$B$5:$B$204,MATCH(B788,Carteira!$A$5:$A$204,0)),"Obra não cadastrada"))</f>
        <v/>
      </c>
      <c r="D788" s="62"/>
      <c r="E788" s="62"/>
      <c r="F788" s="63"/>
    </row>
    <row r="789" spans="1:6" x14ac:dyDescent="0.3">
      <c r="A789" s="64"/>
      <c r="B789" s="61"/>
      <c r="C789" s="67" t="str">
        <f>IF(B789="","",IFERROR(INDEX(Carteira!$B$5:$B$204,MATCH(B789,Carteira!$A$5:$A$204,0)),"Obra não cadastrada"))</f>
        <v/>
      </c>
      <c r="D789" s="62"/>
      <c r="E789" s="62"/>
      <c r="F789" s="63"/>
    </row>
    <row r="790" spans="1:6" x14ac:dyDescent="0.3">
      <c r="A790" s="64"/>
      <c r="B790" s="61"/>
      <c r="C790" s="67" t="str">
        <f>IF(B790="","",IFERROR(INDEX(Carteira!$B$5:$B$204,MATCH(B790,Carteira!$A$5:$A$204,0)),"Obra não cadastrada"))</f>
        <v/>
      </c>
      <c r="D790" s="62"/>
      <c r="E790" s="62"/>
      <c r="F790" s="63"/>
    </row>
    <row r="791" spans="1:6" x14ac:dyDescent="0.3">
      <c r="A791" s="64"/>
      <c r="B791" s="61"/>
      <c r="C791" s="67" t="str">
        <f>IF(B791="","",IFERROR(INDEX(Carteira!$B$5:$B$204,MATCH(B791,Carteira!$A$5:$A$204,0)),"Obra não cadastrada"))</f>
        <v/>
      </c>
      <c r="D791" s="62"/>
      <c r="E791" s="62"/>
      <c r="F791" s="63"/>
    </row>
    <row r="792" spans="1:6" x14ac:dyDescent="0.3">
      <c r="A792" s="64"/>
      <c r="B792" s="61"/>
      <c r="C792" s="67" t="str">
        <f>IF(B792="","",IFERROR(INDEX(Carteira!$B$5:$B$204,MATCH(B792,Carteira!$A$5:$A$204,0)),"Obra não cadastrada"))</f>
        <v/>
      </c>
      <c r="D792" s="62"/>
      <c r="E792" s="62"/>
      <c r="F792" s="63"/>
    </row>
    <row r="793" spans="1:6" x14ac:dyDescent="0.3">
      <c r="A793" s="64"/>
      <c r="B793" s="61"/>
      <c r="C793" s="67" t="str">
        <f>IF(B793="","",IFERROR(INDEX(Carteira!$B$5:$B$204,MATCH(B793,Carteira!$A$5:$A$204,0)),"Obra não cadastrada"))</f>
        <v/>
      </c>
      <c r="D793" s="62"/>
      <c r="E793" s="62"/>
      <c r="F793" s="63"/>
    </row>
    <row r="794" spans="1:6" x14ac:dyDescent="0.3">
      <c r="A794" s="64"/>
      <c r="B794" s="61"/>
      <c r="C794" s="67" t="str">
        <f>IF(B794="","",IFERROR(INDEX(Carteira!$B$5:$B$204,MATCH(B794,Carteira!$A$5:$A$204,0)),"Obra não cadastrada"))</f>
        <v/>
      </c>
      <c r="D794" s="62"/>
      <c r="E794" s="62"/>
      <c r="F794" s="63"/>
    </row>
    <row r="795" spans="1:6" x14ac:dyDescent="0.3">
      <c r="A795" s="64"/>
      <c r="B795" s="61"/>
      <c r="C795" s="67" t="str">
        <f>IF(B795="","",IFERROR(INDEX(Carteira!$B$5:$B$204,MATCH(B795,Carteira!$A$5:$A$204,0)),"Obra não cadastrada"))</f>
        <v/>
      </c>
      <c r="D795" s="62"/>
      <c r="E795" s="62"/>
      <c r="F795" s="63"/>
    </row>
    <row r="796" spans="1:6" x14ac:dyDescent="0.3">
      <c r="A796" s="64"/>
      <c r="B796" s="61"/>
      <c r="C796" s="67" t="str">
        <f>IF(B796="","",IFERROR(INDEX(Carteira!$B$5:$B$204,MATCH(B796,Carteira!$A$5:$A$204,0)),"Obra não cadastrada"))</f>
        <v/>
      </c>
      <c r="D796" s="62"/>
      <c r="E796" s="62"/>
      <c r="F796" s="63"/>
    </row>
    <row r="797" spans="1:6" x14ac:dyDescent="0.3">
      <c r="A797" s="64"/>
      <c r="B797" s="61"/>
      <c r="C797" s="67" t="str">
        <f>IF(B797="","",IFERROR(INDEX(Carteira!$B$5:$B$204,MATCH(B797,Carteira!$A$5:$A$204,0)),"Obra não cadastrada"))</f>
        <v/>
      </c>
      <c r="D797" s="62"/>
      <c r="E797" s="62"/>
      <c r="F797" s="63"/>
    </row>
    <row r="798" spans="1:6" x14ac:dyDescent="0.3">
      <c r="A798" s="64"/>
      <c r="B798" s="61"/>
      <c r="C798" s="67" t="str">
        <f>IF(B798="","",IFERROR(INDEX(Carteira!$B$5:$B$204,MATCH(B798,Carteira!$A$5:$A$204,0)),"Obra não cadastrada"))</f>
        <v/>
      </c>
      <c r="D798" s="62"/>
      <c r="E798" s="62"/>
      <c r="F798" s="63"/>
    </row>
    <row r="799" spans="1:6" x14ac:dyDescent="0.3">
      <c r="A799" s="64"/>
      <c r="B799" s="61"/>
      <c r="C799" s="67" t="str">
        <f>IF(B799="","",IFERROR(INDEX(Carteira!$B$5:$B$204,MATCH(B799,Carteira!$A$5:$A$204,0)),"Obra não cadastrada"))</f>
        <v/>
      </c>
      <c r="D799" s="62"/>
      <c r="E799" s="62"/>
      <c r="F799" s="63"/>
    </row>
    <row r="800" spans="1:6" x14ac:dyDescent="0.3">
      <c r="A800" s="64"/>
      <c r="B800" s="61"/>
      <c r="C800" s="67" t="str">
        <f>IF(B800="","",IFERROR(INDEX(Carteira!$B$5:$B$204,MATCH(B800,Carteira!$A$5:$A$204,0)),"Obra não cadastrada"))</f>
        <v/>
      </c>
      <c r="D800" s="62"/>
      <c r="E800" s="62"/>
      <c r="F800" s="63"/>
    </row>
    <row r="801" spans="1:6" x14ac:dyDescent="0.3">
      <c r="A801" s="64"/>
      <c r="B801" s="61"/>
      <c r="C801" s="67" t="str">
        <f>IF(B801="","",IFERROR(INDEX(Carteira!$B$5:$B$204,MATCH(B801,Carteira!$A$5:$A$204,0)),"Obra não cadastrada"))</f>
        <v/>
      </c>
      <c r="D801" s="62"/>
      <c r="E801" s="62"/>
      <c r="F801" s="63"/>
    </row>
    <row r="802" spans="1:6" x14ac:dyDescent="0.3">
      <c r="A802" s="64"/>
      <c r="B802" s="61"/>
      <c r="C802" s="67" t="str">
        <f>IF(B802="","",IFERROR(INDEX(Carteira!$B$5:$B$204,MATCH(B802,Carteira!$A$5:$A$204,0)),"Obra não cadastrada"))</f>
        <v/>
      </c>
      <c r="D802" s="62"/>
      <c r="E802" s="62"/>
      <c r="F802" s="63"/>
    </row>
    <row r="803" spans="1:6" x14ac:dyDescent="0.3">
      <c r="A803" s="64"/>
      <c r="B803" s="61"/>
      <c r="C803" s="67" t="str">
        <f>IF(B803="","",IFERROR(INDEX(Carteira!$B$5:$B$204,MATCH(B803,Carteira!$A$5:$A$204,0)),"Obra não cadastrada"))</f>
        <v/>
      </c>
      <c r="D803" s="62"/>
      <c r="E803" s="62"/>
      <c r="F803" s="63"/>
    </row>
    <row r="804" spans="1:6" x14ac:dyDescent="0.3">
      <c r="A804" s="64"/>
      <c r="B804" s="61"/>
      <c r="C804" s="67" t="str">
        <f>IF(B804="","",IFERROR(INDEX(Carteira!$B$5:$B$204,MATCH(B804,Carteira!$A$5:$A$204,0)),"Obra não cadastrada"))</f>
        <v/>
      </c>
      <c r="D804" s="62"/>
      <c r="E804" s="62"/>
      <c r="F804" s="63"/>
    </row>
    <row r="805" spans="1:6" x14ac:dyDescent="0.3">
      <c r="A805" s="64"/>
      <c r="B805" s="61"/>
      <c r="C805" s="67" t="str">
        <f>IF(B805="","",IFERROR(INDEX(Carteira!$B$5:$B$204,MATCH(B805,Carteira!$A$5:$A$204,0)),"Obra não cadastrada"))</f>
        <v/>
      </c>
      <c r="D805" s="62"/>
      <c r="E805" s="62"/>
      <c r="F805" s="63"/>
    </row>
    <row r="806" spans="1:6" x14ac:dyDescent="0.3">
      <c r="A806" s="64"/>
      <c r="B806" s="61"/>
      <c r="C806" s="67" t="str">
        <f>IF(B806="","",IFERROR(INDEX(Carteira!$B$5:$B$204,MATCH(B806,Carteira!$A$5:$A$204,0)),"Obra não cadastrada"))</f>
        <v/>
      </c>
      <c r="D806" s="62"/>
      <c r="E806" s="62"/>
      <c r="F806" s="63"/>
    </row>
    <row r="807" spans="1:6" x14ac:dyDescent="0.3">
      <c r="A807" s="64"/>
      <c r="B807" s="61"/>
      <c r="C807" s="67" t="str">
        <f>IF(B807="","",IFERROR(INDEX(Carteira!$B$5:$B$204,MATCH(B807,Carteira!$A$5:$A$204,0)),"Obra não cadastrada"))</f>
        <v/>
      </c>
      <c r="D807" s="62"/>
      <c r="E807" s="62"/>
      <c r="F807" s="63"/>
    </row>
    <row r="808" spans="1:6" x14ac:dyDescent="0.3">
      <c r="A808" s="64"/>
      <c r="B808" s="61"/>
      <c r="C808" s="67" t="str">
        <f>IF(B808="","",IFERROR(INDEX(Carteira!$B$5:$B$204,MATCH(B808,Carteira!$A$5:$A$204,0)),"Obra não cadastrada"))</f>
        <v/>
      </c>
      <c r="D808" s="62"/>
      <c r="E808" s="62"/>
      <c r="F808" s="63"/>
    </row>
    <row r="809" spans="1:6" x14ac:dyDescent="0.3">
      <c r="A809" s="64"/>
      <c r="B809" s="61"/>
      <c r="C809" s="67" t="str">
        <f>IF(B809="","",IFERROR(INDEX(Carteira!$B$5:$B$204,MATCH(B809,Carteira!$A$5:$A$204,0)),"Obra não cadastrada"))</f>
        <v/>
      </c>
      <c r="D809" s="62"/>
      <c r="E809" s="62"/>
      <c r="F809" s="63"/>
    </row>
    <row r="810" spans="1:6" x14ac:dyDescent="0.3">
      <c r="A810" s="64"/>
      <c r="B810" s="61"/>
      <c r="C810" s="67" t="str">
        <f>IF(B810="","",IFERROR(INDEX(Carteira!$B$5:$B$204,MATCH(B810,Carteira!$A$5:$A$204,0)),"Obra não cadastrada"))</f>
        <v/>
      </c>
      <c r="D810" s="62"/>
      <c r="E810" s="62"/>
      <c r="F810" s="63"/>
    </row>
    <row r="811" spans="1:6" x14ac:dyDescent="0.3">
      <c r="A811" s="64"/>
      <c r="B811" s="61"/>
      <c r="C811" s="67" t="str">
        <f>IF(B811="","",IFERROR(INDEX(Carteira!$B$5:$B$204,MATCH(B811,Carteira!$A$5:$A$204,0)),"Obra não cadastrada"))</f>
        <v/>
      </c>
      <c r="D811" s="62"/>
      <c r="E811" s="62"/>
      <c r="F811" s="63"/>
    </row>
    <row r="812" spans="1:6" x14ac:dyDescent="0.3">
      <c r="A812" s="64"/>
      <c r="B812" s="61"/>
      <c r="C812" s="67" t="str">
        <f>IF(B812="","",IFERROR(INDEX(Carteira!$B$5:$B$204,MATCH(B812,Carteira!$A$5:$A$204,0)),"Obra não cadastrada"))</f>
        <v/>
      </c>
      <c r="D812" s="62"/>
      <c r="E812" s="62"/>
      <c r="F812" s="63"/>
    </row>
    <row r="813" spans="1:6" x14ac:dyDescent="0.3">
      <c r="A813" s="64"/>
      <c r="B813" s="61"/>
      <c r="C813" s="67" t="str">
        <f>IF(B813="","",IFERROR(INDEX(Carteira!$B$5:$B$204,MATCH(B813,Carteira!$A$5:$A$204,0)),"Obra não cadastrada"))</f>
        <v/>
      </c>
      <c r="D813" s="62"/>
      <c r="E813" s="62"/>
      <c r="F813" s="63"/>
    </row>
    <row r="814" spans="1:6" x14ac:dyDescent="0.3">
      <c r="A814" s="64"/>
      <c r="B814" s="61"/>
      <c r="C814" s="67" t="str">
        <f>IF(B814="","",IFERROR(INDEX(Carteira!$B$5:$B$204,MATCH(B814,Carteira!$A$5:$A$204,0)),"Obra não cadastrada"))</f>
        <v/>
      </c>
      <c r="D814" s="62"/>
      <c r="E814" s="62"/>
      <c r="F814" s="63"/>
    </row>
    <row r="815" spans="1:6" x14ac:dyDescent="0.3">
      <c r="A815" s="64"/>
      <c r="B815" s="61"/>
      <c r="C815" s="67" t="str">
        <f>IF(B815="","",IFERROR(INDEX(Carteira!$B$5:$B$204,MATCH(B815,Carteira!$A$5:$A$204,0)),"Obra não cadastrada"))</f>
        <v/>
      </c>
      <c r="D815" s="62"/>
      <c r="E815" s="62"/>
      <c r="F815" s="63"/>
    </row>
    <row r="816" spans="1:6" x14ac:dyDescent="0.3">
      <c r="A816" s="64"/>
      <c r="B816" s="61"/>
      <c r="C816" s="67" t="str">
        <f>IF(B816="","",IFERROR(INDEX(Carteira!$B$5:$B$204,MATCH(B816,Carteira!$A$5:$A$204,0)),"Obra não cadastrada"))</f>
        <v/>
      </c>
      <c r="D816" s="62"/>
      <c r="E816" s="62"/>
      <c r="F816" s="63"/>
    </row>
    <row r="817" spans="1:6" x14ac:dyDescent="0.3">
      <c r="A817" s="64"/>
      <c r="B817" s="61"/>
      <c r="C817" s="67" t="str">
        <f>IF(B817="","",IFERROR(INDEX(Carteira!$B$5:$B$204,MATCH(B817,Carteira!$A$5:$A$204,0)),"Obra não cadastrada"))</f>
        <v/>
      </c>
      <c r="D817" s="62"/>
      <c r="E817" s="62"/>
      <c r="F817" s="63"/>
    </row>
    <row r="818" spans="1:6" x14ac:dyDescent="0.3">
      <c r="A818" s="64"/>
      <c r="B818" s="61"/>
      <c r="C818" s="67" t="str">
        <f>IF(B818="","",IFERROR(INDEX(Carteira!$B$5:$B$204,MATCH(B818,Carteira!$A$5:$A$204,0)),"Obra não cadastrada"))</f>
        <v/>
      </c>
      <c r="D818" s="62"/>
      <c r="E818" s="62"/>
      <c r="F818" s="63"/>
    </row>
    <row r="819" spans="1:6" x14ac:dyDescent="0.3">
      <c r="A819" s="64"/>
      <c r="B819" s="61"/>
      <c r="C819" s="67" t="str">
        <f>IF(B819="","",IFERROR(INDEX(Carteira!$B$5:$B$204,MATCH(B819,Carteira!$A$5:$A$204,0)),"Obra não cadastrada"))</f>
        <v/>
      </c>
      <c r="D819" s="62"/>
      <c r="E819" s="62"/>
      <c r="F819" s="63"/>
    </row>
    <row r="820" spans="1:6" x14ac:dyDescent="0.3">
      <c r="A820" s="64"/>
      <c r="B820" s="61"/>
      <c r="C820" s="67" t="str">
        <f>IF(B820="","",IFERROR(INDEX(Carteira!$B$5:$B$204,MATCH(B820,Carteira!$A$5:$A$204,0)),"Obra não cadastrada"))</f>
        <v/>
      </c>
      <c r="D820" s="62"/>
      <c r="E820" s="62"/>
      <c r="F820" s="63"/>
    </row>
    <row r="821" spans="1:6" x14ac:dyDescent="0.3">
      <c r="A821" s="64"/>
      <c r="B821" s="61"/>
      <c r="C821" s="67" t="str">
        <f>IF(B821="","",IFERROR(INDEX(Carteira!$B$5:$B$204,MATCH(B821,Carteira!$A$5:$A$204,0)),"Obra não cadastrada"))</f>
        <v/>
      </c>
      <c r="D821" s="62"/>
      <c r="E821" s="62"/>
      <c r="F821" s="63"/>
    </row>
    <row r="822" spans="1:6" x14ac:dyDescent="0.3">
      <c r="A822" s="64"/>
      <c r="B822" s="61"/>
      <c r="C822" s="67" t="str">
        <f>IF(B822="","",IFERROR(INDEX(Carteira!$B$5:$B$204,MATCH(B822,Carteira!$A$5:$A$204,0)),"Obra não cadastrada"))</f>
        <v/>
      </c>
      <c r="D822" s="62"/>
      <c r="E822" s="62"/>
      <c r="F822" s="63"/>
    </row>
    <row r="823" spans="1:6" x14ac:dyDescent="0.3">
      <c r="A823" s="64"/>
      <c r="B823" s="61"/>
      <c r="C823" s="67" t="str">
        <f>IF(B823="","",IFERROR(INDEX(Carteira!$B$5:$B$204,MATCH(B823,Carteira!$A$5:$A$204,0)),"Obra não cadastrada"))</f>
        <v/>
      </c>
      <c r="D823" s="62"/>
      <c r="E823" s="62"/>
      <c r="F823" s="63"/>
    </row>
    <row r="824" spans="1:6" x14ac:dyDescent="0.3">
      <c r="A824" s="64"/>
      <c r="B824" s="61"/>
      <c r="C824" s="67" t="str">
        <f>IF(B824="","",IFERROR(INDEX(Carteira!$B$5:$B$204,MATCH(B824,Carteira!$A$5:$A$204,0)),"Obra não cadastrada"))</f>
        <v/>
      </c>
      <c r="D824" s="62"/>
      <c r="E824" s="62"/>
      <c r="F824" s="63"/>
    </row>
    <row r="825" spans="1:6" x14ac:dyDescent="0.3">
      <c r="A825" s="64"/>
      <c r="B825" s="61"/>
      <c r="C825" s="67" t="str">
        <f>IF(B825="","",IFERROR(INDEX(Carteira!$B$5:$B$204,MATCH(B825,Carteira!$A$5:$A$204,0)),"Obra não cadastrada"))</f>
        <v/>
      </c>
      <c r="D825" s="62"/>
      <c r="E825" s="62"/>
      <c r="F825" s="63"/>
    </row>
    <row r="826" spans="1:6" x14ac:dyDescent="0.3">
      <c r="A826" s="64"/>
      <c r="B826" s="61"/>
      <c r="C826" s="67" t="str">
        <f>IF(B826="","",IFERROR(INDEX(Carteira!$B$5:$B$204,MATCH(B826,Carteira!$A$5:$A$204,0)),"Obra não cadastrada"))</f>
        <v/>
      </c>
      <c r="D826" s="62"/>
      <c r="E826" s="62"/>
      <c r="F826" s="63"/>
    </row>
    <row r="827" spans="1:6" x14ac:dyDescent="0.3">
      <c r="A827" s="64"/>
      <c r="B827" s="61"/>
      <c r="C827" s="67" t="str">
        <f>IF(B827="","",IFERROR(INDEX(Carteira!$B$5:$B$204,MATCH(B827,Carteira!$A$5:$A$204,0)),"Obra não cadastrada"))</f>
        <v/>
      </c>
      <c r="D827" s="62"/>
      <c r="E827" s="62"/>
      <c r="F827" s="63"/>
    </row>
    <row r="828" spans="1:6" x14ac:dyDescent="0.3">
      <c r="A828" s="64"/>
      <c r="B828" s="61"/>
      <c r="C828" s="67" t="str">
        <f>IF(B828="","",IFERROR(INDEX(Carteira!$B$5:$B$204,MATCH(B828,Carteira!$A$5:$A$204,0)),"Obra não cadastrada"))</f>
        <v/>
      </c>
      <c r="D828" s="62"/>
      <c r="E828" s="62"/>
      <c r="F828" s="63"/>
    </row>
    <row r="829" spans="1:6" x14ac:dyDescent="0.3">
      <c r="A829" s="64"/>
      <c r="B829" s="61"/>
      <c r="C829" s="67" t="str">
        <f>IF(B829="","",IFERROR(INDEX(Carteira!$B$5:$B$204,MATCH(B829,Carteira!$A$5:$A$204,0)),"Obra não cadastrada"))</f>
        <v/>
      </c>
      <c r="D829" s="62"/>
      <c r="E829" s="62"/>
      <c r="F829" s="63"/>
    </row>
    <row r="830" spans="1:6" x14ac:dyDescent="0.3">
      <c r="A830" s="64"/>
      <c r="B830" s="61"/>
      <c r="C830" s="67" t="str">
        <f>IF(B830="","",IFERROR(INDEX(Carteira!$B$5:$B$204,MATCH(B830,Carteira!$A$5:$A$204,0)),"Obra não cadastrada"))</f>
        <v/>
      </c>
      <c r="D830" s="62"/>
      <c r="E830" s="62"/>
      <c r="F830" s="63"/>
    </row>
    <row r="831" spans="1:6" x14ac:dyDescent="0.3">
      <c r="A831" s="64"/>
      <c r="B831" s="61"/>
      <c r="C831" s="67" t="str">
        <f>IF(B831="","",IFERROR(INDEX(Carteira!$B$5:$B$204,MATCH(B831,Carteira!$A$5:$A$204,0)),"Obra não cadastrada"))</f>
        <v/>
      </c>
      <c r="D831" s="62"/>
      <c r="E831" s="62"/>
      <c r="F831" s="63"/>
    </row>
    <row r="832" spans="1:6" x14ac:dyDescent="0.3">
      <c r="A832" s="64"/>
      <c r="B832" s="61"/>
      <c r="C832" s="67" t="str">
        <f>IF(B832="","",IFERROR(INDEX(Carteira!$B$5:$B$204,MATCH(B832,Carteira!$A$5:$A$204,0)),"Obra não cadastrada"))</f>
        <v/>
      </c>
      <c r="D832" s="62"/>
      <c r="E832" s="62"/>
      <c r="F832" s="63"/>
    </row>
    <row r="833" spans="1:6" x14ac:dyDescent="0.3">
      <c r="A833" s="64"/>
      <c r="B833" s="61"/>
      <c r="C833" s="67" t="str">
        <f>IF(B833="","",IFERROR(INDEX(Carteira!$B$5:$B$204,MATCH(B833,Carteira!$A$5:$A$204,0)),"Obra não cadastrada"))</f>
        <v/>
      </c>
      <c r="D833" s="62"/>
      <c r="E833" s="62"/>
      <c r="F833" s="63"/>
    </row>
    <row r="834" spans="1:6" x14ac:dyDescent="0.3">
      <c r="A834" s="64"/>
      <c r="B834" s="61"/>
      <c r="C834" s="67" t="str">
        <f>IF(B834="","",IFERROR(INDEX(Carteira!$B$5:$B$204,MATCH(B834,Carteira!$A$5:$A$204,0)),"Obra não cadastrada"))</f>
        <v/>
      </c>
      <c r="D834" s="62"/>
      <c r="E834" s="62"/>
      <c r="F834" s="63"/>
    </row>
    <row r="835" spans="1:6" x14ac:dyDescent="0.3">
      <c r="A835" s="64"/>
      <c r="B835" s="61"/>
      <c r="C835" s="67" t="str">
        <f>IF(B835="","",IFERROR(INDEX(Carteira!$B$5:$B$204,MATCH(B835,Carteira!$A$5:$A$204,0)),"Obra não cadastrada"))</f>
        <v/>
      </c>
      <c r="D835" s="62"/>
      <c r="E835" s="62"/>
      <c r="F835" s="63"/>
    </row>
    <row r="836" spans="1:6" x14ac:dyDescent="0.3">
      <c r="A836" s="64"/>
      <c r="B836" s="61"/>
      <c r="C836" s="67" t="str">
        <f>IF(B836="","",IFERROR(INDEX(Carteira!$B$5:$B$204,MATCH(B836,Carteira!$A$5:$A$204,0)),"Obra não cadastrada"))</f>
        <v/>
      </c>
      <c r="D836" s="62"/>
      <c r="E836" s="62"/>
      <c r="F836" s="63"/>
    </row>
    <row r="837" spans="1:6" x14ac:dyDescent="0.3">
      <c r="A837" s="64"/>
      <c r="B837" s="61"/>
      <c r="C837" s="67" t="str">
        <f>IF(B837="","",IFERROR(INDEX(Carteira!$B$5:$B$204,MATCH(B837,Carteira!$A$5:$A$204,0)),"Obra não cadastrada"))</f>
        <v/>
      </c>
      <c r="D837" s="62"/>
      <c r="E837" s="62"/>
      <c r="F837" s="63"/>
    </row>
    <row r="838" spans="1:6" x14ac:dyDescent="0.3">
      <c r="A838" s="64"/>
      <c r="B838" s="61"/>
      <c r="C838" s="67" t="str">
        <f>IF(B838="","",IFERROR(INDEX(Carteira!$B$5:$B$204,MATCH(B838,Carteira!$A$5:$A$204,0)),"Obra não cadastrada"))</f>
        <v/>
      </c>
      <c r="D838" s="62"/>
      <c r="E838" s="62"/>
      <c r="F838" s="63"/>
    </row>
    <row r="839" spans="1:6" x14ac:dyDescent="0.3">
      <c r="A839" s="64"/>
      <c r="B839" s="61"/>
      <c r="C839" s="67" t="str">
        <f>IF(B839="","",IFERROR(INDEX(Carteira!$B$5:$B$204,MATCH(B839,Carteira!$A$5:$A$204,0)),"Obra não cadastrada"))</f>
        <v/>
      </c>
      <c r="D839" s="62"/>
      <c r="E839" s="62"/>
      <c r="F839" s="63"/>
    </row>
    <row r="840" spans="1:6" x14ac:dyDescent="0.3">
      <c r="A840" s="64"/>
      <c r="B840" s="61"/>
      <c r="C840" s="67" t="str">
        <f>IF(B840="","",IFERROR(INDEX(Carteira!$B$5:$B$204,MATCH(B840,Carteira!$A$5:$A$204,0)),"Obra não cadastrada"))</f>
        <v/>
      </c>
      <c r="D840" s="62"/>
      <c r="E840" s="62"/>
      <c r="F840" s="63"/>
    </row>
    <row r="841" spans="1:6" x14ac:dyDescent="0.3">
      <c r="A841" s="64"/>
      <c r="B841" s="61"/>
      <c r="C841" s="67" t="str">
        <f>IF(B841="","",IFERROR(INDEX(Carteira!$B$5:$B$204,MATCH(B841,Carteira!$A$5:$A$204,0)),"Obra não cadastrada"))</f>
        <v/>
      </c>
      <c r="D841" s="62"/>
      <c r="E841" s="62"/>
      <c r="F841" s="63"/>
    </row>
    <row r="842" spans="1:6" x14ac:dyDescent="0.3">
      <c r="A842" s="64"/>
      <c r="B842" s="61"/>
      <c r="C842" s="67" t="str">
        <f>IF(B842="","",IFERROR(INDEX(Carteira!$B$5:$B$204,MATCH(B842,Carteira!$A$5:$A$204,0)),"Obra não cadastrada"))</f>
        <v/>
      </c>
      <c r="D842" s="62"/>
      <c r="E842" s="62"/>
      <c r="F842" s="63"/>
    </row>
    <row r="843" spans="1:6" x14ac:dyDescent="0.3">
      <c r="A843" s="64"/>
      <c r="B843" s="61"/>
      <c r="C843" s="67" t="str">
        <f>IF(B843="","",IFERROR(INDEX(Carteira!$B$5:$B$204,MATCH(B843,Carteira!$A$5:$A$204,0)),"Obra não cadastrada"))</f>
        <v/>
      </c>
      <c r="D843" s="62"/>
      <c r="E843" s="62"/>
      <c r="F843" s="63"/>
    </row>
    <row r="844" spans="1:6" x14ac:dyDescent="0.3">
      <c r="A844" s="64"/>
      <c r="B844" s="61"/>
      <c r="C844" s="67" t="str">
        <f>IF(B844="","",IFERROR(INDEX(Carteira!$B$5:$B$204,MATCH(B844,Carteira!$A$5:$A$204,0)),"Obra não cadastrada"))</f>
        <v/>
      </c>
      <c r="D844" s="62"/>
      <c r="E844" s="62"/>
      <c r="F844" s="63"/>
    </row>
    <row r="845" spans="1:6" x14ac:dyDescent="0.3">
      <c r="A845" s="64"/>
      <c r="B845" s="61"/>
      <c r="C845" s="67" t="str">
        <f>IF(B845="","",IFERROR(INDEX(Carteira!$B$5:$B$204,MATCH(B845,Carteira!$A$5:$A$204,0)),"Obra não cadastrada"))</f>
        <v/>
      </c>
      <c r="D845" s="62"/>
      <c r="E845" s="62"/>
      <c r="F845" s="63"/>
    </row>
    <row r="846" spans="1:6" x14ac:dyDescent="0.3">
      <c r="A846" s="64"/>
      <c r="B846" s="61"/>
      <c r="C846" s="67" t="str">
        <f>IF(B846="","",IFERROR(INDEX(Carteira!$B$5:$B$204,MATCH(B846,Carteira!$A$5:$A$204,0)),"Obra não cadastrada"))</f>
        <v/>
      </c>
      <c r="D846" s="62"/>
      <c r="E846" s="62"/>
      <c r="F846" s="63"/>
    </row>
    <row r="847" spans="1:6" x14ac:dyDescent="0.3">
      <c r="A847" s="64"/>
      <c r="B847" s="61"/>
      <c r="C847" s="67" t="str">
        <f>IF(B847="","",IFERROR(INDEX(Carteira!$B$5:$B$204,MATCH(B847,Carteira!$A$5:$A$204,0)),"Obra não cadastrada"))</f>
        <v/>
      </c>
      <c r="D847" s="62"/>
      <c r="E847" s="62"/>
      <c r="F847" s="63"/>
    </row>
    <row r="848" spans="1:6" x14ac:dyDescent="0.3">
      <c r="A848" s="64"/>
      <c r="B848" s="61"/>
      <c r="C848" s="67" t="str">
        <f>IF(B848="","",IFERROR(INDEX(Carteira!$B$5:$B$204,MATCH(B848,Carteira!$A$5:$A$204,0)),"Obra não cadastrada"))</f>
        <v/>
      </c>
      <c r="D848" s="62"/>
      <c r="E848" s="62"/>
      <c r="F848" s="63"/>
    </row>
    <row r="849" spans="1:6" x14ac:dyDescent="0.3">
      <c r="A849" s="64"/>
      <c r="B849" s="61"/>
      <c r="C849" s="67" t="str">
        <f>IF(B849="","",IFERROR(INDEX(Carteira!$B$5:$B$204,MATCH(B849,Carteira!$A$5:$A$204,0)),"Obra não cadastrada"))</f>
        <v/>
      </c>
      <c r="D849" s="62"/>
      <c r="E849" s="62"/>
      <c r="F849" s="63"/>
    </row>
    <row r="850" spans="1:6" x14ac:dyDescent="0.3">
      <c r="A850" s="64"/>
      <c r="B850" s="61"/>
      <c r="C850" s="67" t="str">
        <f>IF(B850="","",IFERROR(INDEX(Carteira!$B$5:$B$204,MATCH(B850,Carteira!$A$5:$A$204,0)),"Obra não cadastrada"))</f>
        <v/>
      </c>
      <c r="D850" s="62"/>
      <c r="E850" s="62"/>
      <c r="F850" s="63"/>
    </row>
    <row r="851" spans="1:6" x14ac:dyDescent="0.3">
      <c r="A851" s="64"/>
      <c r="B851" s="61"/>
      <c r="C851" s="67" t="str">
        <f>IF(B851="","",IFERROR(INDEX(Carteira!$B$5:$B$204,MATCH(B851,Carteira!$A$5:$A$204,0)),"Obra não cadastrada"))</f>
        <v/>
      </c>
      <c r="D851" s="62"/>
      <c r="E851" s="62"/>
      <c r="F851" s="63"/>
    </row>
    <row r="852" spans="1:6" x14ac:dyDescent="0.3">
      <c r="A852" s="64"/>
      <c r="B852" s="61"/>
      <c r="C852" s="67" t="str">
        <f>IF(B852="","",IFERROR(INDEX(Carteira!$B$5:$B$204,MATCH(B852,Carteira!$A$5:$A$204,0)),"Obra não cadastrada"))</f>
        <v/>
      </c>
      <c r="D852" s="62"/>
      <c r="E852" s="62"/>
      <c r="F852" s="63"/>
    </row>
    <row r="853" spans="1:6" x14ac:dyDescent="0.3">
      <c r="A853" s="64"/>
      <c r="B853" s="61"/>
      <c r="C853" s="67" t="str">
        <f>IF(B853="","",IFERROR(INDEX(Carteira!$B$5:$B$204,MATCH(B853,Carteira!$A$5:$A$204,0)),"Obra não cadastrada"))</f>
        <v/>
      </c>
      <c r="D853" s="62"/>
      <c r="E853" s="62"/>
      <c r="F853" s="63"/>
    </row>
    <row r="854" spans="1:6" x14ac:dyDescent="0.3">
      <c r="A854" s="64"/>
      <c r="B854" s="61"/>
      <c r="C854" s="67" t="str">
        <f>IF(B854="","",IFERROR(INDEX(Carteira!$B$5:$B$204,MATCH(B854,Carteira!$A$5:$A$204,0)),"Obra não cadastrada"))</f>
        <v/>
      </c>
      <c r="D854" s="62"/>
      <c r="E854" s="62"/>
      <c r="F854" s="63"/>
    </row>
    <row r="855" spans="1:6" x14ac:dyDescent="0.3">
      <c r="A855" s="64"/>
      <c r="B855" s="61"/>
      <c r="C855" s="67" t="str">
        <f>IF(B855="","",IFERROR(INDEX(Carteira!$B$5:$B$204,MATCH(B855,Carteira!$A$5:$A$204,0)),"Obra não cadastrada"))</f>
        <v/>
      </c>
      <c r="D855" s="62"/>
      <c r="E855" s="62"/>
      <c r="F855" s="63"/>
    </row>
    <row r="856" spans="1:6" x14ac:dyDescent="0.3">
      <c r="A856" s="64"/>
      <c r="B856" s="61"/>
      <c r="C856" s="67" t="str">
        <f>IF(B856="","",IFERROR(INDEX(Carteira!$B$5:$B$204,MATCH(B856,Carteira!$A$5:$A$204,0)),"Obra não cadastrada"))</f>
        <v/>
      </c>
      <c r="D856" s="62"/>
      <c r="E856" s="62"/>
      <c r="F856" s="63"/>
    </row>
    <row r="857" spans="1:6" x14ac:dyDescent="0.3">
      <c r="A857" s="64"/>
      <c r="B857" s="61"/>
      <c r="C857" s="67" t="str">
        <f>IF(B857="","",IFERROR(INDEX(Carteira!$B$5:$B$204,MATCH(B857,Carteira!$A$5:$A$204,0)),"Obra não cadastrada"))</f>
        <v/>
      </c>
      <c r="D857" s="62"/>
      <c r="E857" s="62"/>
      <c r="F857" s="63"/>
    </row>
    <row r="858" spans="1:6" x14ac:dyDescent="0.3">
      <c r="A858" s="64"/>
      <c r="B858" s="61"/>
      <c r="C858" s="67" t="str">
        <f>IF(B858="","",IFERROR(INDEX(Carteira!$B$5:$B$204,MATCH(B858,Carteira!$A$5:$A$204,0)),"Obra não cadastrada"))</f>
        <v/>
      </c>
      <c r="D858" s="62"/>
      <c r="E858" s="62"/>
      <c r="F858" s="63"/>
    </row>
    <row r="859" spans="1:6" x14ac:dyDescent="0.3">
      <c r="A859" s="64"/>
      <c r="B859" s="61"/>
      <c r="C859" s="67" t="str">
        <f>IF(B859="","",IFERROR(INDEX(Carteira!$B$5:$B$204,MATCH(B859,Carteira!$A$5:$A$204,0)),"Obra não cadastrada"))</f>
        <v/>
      </c>
      <c r="D859" s="62"/>
      <c r="E859" s="62"/>
      <c r="F859" s="63"/>
    </row>
    <row r="860" spans="1:6" x14ac:dyDescent="0.3">
      <c r="A860" s="64"/>
      <c r="B860" s="61"/>
      <c r="C860" s="67" t="str">
        <f>IF(B860="","",IFERROR(INDEX(Carteira!$B$5:$B$204,MATCH(B860,Carteira!$A$5:$A$204,0)),"Obra não cadastrada"))</f>
        <v/>
      </c>
      <c r="D860" s="62"/>
      <c r="E860" s="62"/>
      <c r="F860" s="63"/>
    </row>
    <row r="861" spans="1:6" x14ac:dyDescent="0.3">
      <c r="A861" s="64"/>
      <c r="B861" s="61"/>
      <c r="C861" s="67" t="str">
        <f>IF(B861="","",IFERROR(INDEX(Carteira!$B$5:$B$204,MATCH(B861,Carteira!$A$5:$A$204,0)),"Obra não cadastrada"))</f>
        <v/>
      </c>
      <c r="D861" s="62"/>
      <c r="E861" s="62"/>
      <c r="F861" s="63"/>
    </row>
    <row r="862" spans="1:6" x14ac:dyDescent="0.3">
      <c r="A862" s="64"/>
      <c r="B862" s="61"/>
      <c r="C862" s="67" t="str">
        <f>IF(B862="","",IFERROR(INDEX(Carteira!$B$5:$B$204,MATCH(B862,Carteira!$A$5:$A$204,0)),"Obra não cadastrada"))</f>
        <v/>
      </c>
      <c r="D862" s="62"/>
      <c r="E862" s="62"/>
      <c r="F862" s="63"/>
    </row>
    <row r="863" spans="1:6" x14ac:dyDescent="0.3">
      <c r="A863" s="64"/>
      <c r="B863" s="61"/>
      <c r="C863" s="67" t="str">
        <f>IF(B863="","",IFERROR(INDEX(Carteira!$B$5:$B$204,MATCH(B863,Carteira!$A$5:$A$204,0)),"Obra não cadastrada"))</f>
        <v/>
      </c>
      <c r="D863" s="62"/>
      <c r="E863" s="62"/>
      <c r="F863" s="63"/>
    </row>
    <row r="864" spans="1:6" x14ac:dyDescent="0.3">
      <c r="A864" s="64"/>
      <c r="B864" s="61"/>
      <c r="C864" s="67" t="str">
        <f>IF(B864="","",IFERROR(INDEX(Carteira!$B$5:$B$204,MATCH(B864,Carteira!$A$5:$A$204,0)),"Obra não cadastrada"))</f>
        <v/>
      </c>
      <c r="D864" s="62"/>
      <c r="E864" s="62"/>
      <c r="F864" s="63"/>
    </row>
    <row r="865" spans="1:6" x14ac:dyDescent="0.3">
      <c r="A865" s="64"/>
      <c r="B865" s="61"/>
      <c r="C865" s="67" t="str">
        <f>IF(B865="","",IFERROR(INDEX(Carteira!$B$5:$B$204,MATCH(B865,Carteira!$A$5:$A$204,0)),"Obra não cadastrada"))</f>
        <v/>
      </c>
      <c r="D865" s="62"/>
      <c r="E865" s="62"/>
      <c r="F865" s="63"/>
    </row>
    <row r="866" spans="1:6" x14ac:dyDescent="0.3">
      <c r="A866" s="64"/>
      <c r="B866" s="61"/>
      <c r="C866" s="67" t="str">
        <f>IF(B866="","",IFERROR(INDEX(Carteira!$B$5:$B$204,MATCH(B866,Carteira!$A$5:$A$204,0)),"Obra não cadastrada"))</f>
        <v/>
      </c>
      <c r="D866" s="62"/>
      <c r="E866" s="62"/>
      <c r="F866" s="63"/>
    </row>
    <row r="867" spans="1:6" x14ac:dyDescent="0.3">
      <c r="A867" s="64"/>
      <c r="B867" s="61"/>
      <c r="C867" s="67" t="str">
        <f>IF(B867="","",IFERROR(INDEX(Carteira!$B$5:$B$204,MATCH(B867,Carteira!$A$5:$A$204,0)),"Obra não cadastrada"))</f>
        <v/>
      </c>
      <c r="D867" s="62"/>
      <c r="E867" s="62"/>
      <c r="F867" s="63"/>
    </row>
    <row r="868" spans="1:6" x14ac:dyDescent="0.3">
      <c r="A868" s="64"/>
      <c r="B868" s="61"/>
      <c r="C868" s="67" t="str">
        <f>IF(B868="","",IFERROR(INDEX(Carteira!$B$5:$B$204,MATCH(B868,Carteira!$A$5:$A$204,0)),"Obra não cadastrada"))</f>
        <v/>
      </c>
      <c r="D868" s="62"/>
      <c r="E868" s="62"/>
      <c r="F868" s="63"/>
    </row>
    <row r="869" spans="1:6" x14ac:dyDescent="0.3">
      <c r="A869" s="64"/>
      <c r="B869" s="61"/>
      <c r="C869" s="67" t="str">
        <f>IF(B869="","",IFERROR(INDEX(Carteira!$B$5:$B$204,MATCH(B869,Carteira!$A$5:$A$204,0)),"Obra não cadastrada"))</f>
        <v/>
      </c>
      <c r="D869" s="62"/>
      <c r="E869" s="62"/>
      <c r="F869" s="63"/>
    </row>
    <row r="870" spans="1:6" x14ac:dyDescent="0.3">
      <c r="A870" s="64"/>
      <c r="B870" s="61"/>
      <c r="C870" s="67" t="str">
        <f>IF(B870="","",IFERROR(INDEX(Carteira!$B$5:$B$204,MATCH(B870,Carteira!$A$5:$A$204,0)),"Obra não cadastrada"))</f>
        <v/>
      </c>
      <c r="D870" s="62"/>
      <c r="E870" s="62"/>
      <c r="F870" s="63"/>
    </row>
    <row r="871" spans="1:6" x14ac:dyDescent="0.3">
      <c r="A871" s="64"/>
      <c r="B871" s="61"/>
      <c r="C871" s="67" t="str">
        <f>IF(B871="","",IFERROR(INDEX(Carteira!$B$5:$B$204,MATCH(B871,Carteira!$A$5:$A$204,0)),"Obra não cadastrada"))</f>
        <v/>
      </c>
      <c r="D871" s="62"/>
      <c r="E871" s="62"/>
      <c r="F871" s="63"/>
    </row>
    <row r="872" spans="1:6" x14ac:dyDescent="0.3">
      <c r="A872" s="64"/>
      <c r="B872" s="61"/>
      <c r="C872" s="67" t="str">
        <f>IF(B872="","",IFERROR(INDEX(Carteira!$B$5:$B$204,MATCH(B872,Carteira!$A$5:$A$204,0)),"Obra não cadastrada"))</f>
        <v/>
      </c>
      <c r="D872" s="62"/>
      <c r="E872" s="62"/>
      <c r="F872" s="63"/>
    </row>
    <row r="873" spans="1:6" x14ac:dyDescent="0.3">
      <c r="A873" s="64"/>
      <c r="B873" s="61"/>
      <c r="C873" s="67" t="str">
        <f>IF(B873="","",IFERROR(INDEX(Carteira!$B$5:$B$204,MATCH(B873,Carteira!$A$5:$A$204,0)),"Obra não cadastrada"))</f>
        <v/>
      </c>
      <c r="D873" s="62"/>
      <c r="E873" s="62"/>
      <c r="F873" s="63"/>
    </row>
    <row r="874" spans="1:6" x14ac:dyDescent="0.3">
      <c r="A874" s="64"/>
      <c r="B874" s="61"/>
      <c r="C874" s="67" t="str">
        <f>IF(B874="","",IFERROR(INDEX(Carteira!$B$5:$B$204,MATCH(B874,Carteira!$A$5:$A$204,0)),"Obra não cadastrada"))</f>
        <v/>
      </c>
      <c r="D874" s="62"/>
      <c r="E874" s="62"/>
      <c r="F874" s="63"/>
    </row>
    <row r="875" spans="1:6" x14ac:dyDescent="0.3">
      <c r="A875" s="64"/>
      <c r="B875" s="61"/>
      <c r="C875" s="67" t="str">
        <f>IF(B875="","",IFERROR(INDEX(Carteira!$B$5:$B$204,MATCH(B875,Carteira!$A$5:$A$204,0)),"Obra não cadastrada"))</f>
        <v/>
      </c>
      <c r="D875" s="62"/>
      <c r="E875" s="62"/>
      <c r="F875" s="63"/>
    </row>
    <row r="876" spans="1:6" x14ac:dyDescent="0.3">
      <c r="A876" s="64"/>
      <c r="B876" s="61"/>
      <c r="C876" s="67" t="str">
        <f>IF(B876="","",IFERROR(INDEX(Carteira!$B$5:$B$204,MATCH(B876,Carteira!$A$5:$A$204,0)),"Obra não cadastrada"))</f>
        <v/>
      </c>
      <c r="D876" s="62"/>
      <c r="E876" s="62"/>
      <c r="F876" s="63"/>
    </row>
    <row r="877" spans="1:6" x14ac:dyDescent="0.3">
      <c r="A877" s="64"/>
      <c r="B877" s="61"/>
      <c r="C877" s="67" t="str">
        <f>IF(B877="","",IFERROR(INDEX(Carteira!$B$5:$B$204,MATCH(B877,Carteira!$A$5:$A$204,0)),"Obra não cadastrada"))</f>
        <v/>
      </c>
      <c r="D877" s="62"/>
      <c r="E877" s="62"/>
      <c r="F877" s="63"/>
    </row>
    <row r="878" spans="1:6" x14ac:dyDescent="0.3">
      <c r="A878" s="64"/>
      <c r="B878" s="61"/>
      <c r="C878" s="67" t="str">
        <f>IF(B878="","",IFERROR(INDEX(Carteira!$B$5:$B$204,MATCH(B878,Carteira!$A$5:$A$204,0)),"Obra não cadastrada"))</f>
        <v/>
      </c>
      <c r="D878" s="62"/>
      <c r="E878" s="62"/>
      <c r="F878" s="63"/>
    </row>
    <row r="879" spans="1:6" x14ac:dyDescent="0.3">
      <c r="A879" s="64"/>
      <c r="B879" s="61"/>
      <c r="C879" s="67" t="str">
        <f>IF(B879="","",IFERROR(INDEX(Carteira!$B$5:$B$204,MATCH(B879,Carteira!$A$5:$A$204,0)),"Obra não cadastrada"))</f>
        <v/>
      </c>
      <c r="D879" s="62"/>
      <c r="E879" s="62"/>
      <c r="F879" s="63"/>
    </row>
    <row r="880" spans="1:6" x14ac:dyDescent="0.3">
      <c r="A880" s="64"/>
      <c r="B880" s="61"/>
      <c r="C880" s="67" t="str">
        <f>IF(B880="","",IFERROR(INDEX(Carteira!$B$5:$B$204,MATCH(B880,Carteira!$A$5:$A$204,0)),"Obra não cadastrada"))</f>
        <v/>
      </c>
      <c r="D880" s="62"/>
      <c r="E880" s="62"/>
      <c r="F880" s="63"/>
    </row>
    <row r="881" spans="1:6" x14ac:dyDescent="0.3">
      <c r="A881" s="64"/>
      <c r="B881" s="61"/>
      <c r="C881" s="67" t="str">
        <f>IF(B881="","",IFERROR(INDEX(Carteira!$B$5:$B$204,MATCH(B881,Carteira!$A$5:$A$204,0)),"Obra não cadastrada"))</f>
        <v/>
      </c>
      <c r="D881" s="62"/>
      <c r="E881" s="62"/>
      <c r="F881" s="63"/>
    </row>
    <row r="882" spans="1:6" x14ac:dyDescent="0.3">
      <c r="A882" s="64"/>
      <c r="B882" s="61"/>
      <c r="C882" s="67" t="str">
        <f>IF(B882="","",IFERROR(INDEX(Carteira!$B$5:$B$204,MATCH(B882,Carteira!$A$5:$A$204,0)),"Obra não cadastrada"))</f>
        <v/>
      </c>
      <c r="D882" s="62"/>
      <c r="E882" s="62"/>
      <c r="F882" s="63"/>
    </row>
    <row r="883" spans="1:6" x14ac:dyDescent="0.3">
      <c r="A883" s="64"/>
      <c r="B883" s="61"/>
      <c r="C883" s="67" t="str">
        <f>IF(B883="","",IFERROR(INDEX(Carteira!$B$5:$B$204,MATCH(B883,Carteira!$A$5:$A$204,0)),"Obra não cadastrada"))</f>
        <v/>
      </c>
      <c r="D883" s="62"/>
      <c r="E883" s="62"/>
      <c r="F883" s="63"/>
    </row>
    <row r="884" spans="1:6" x14ac:dyDescent="0.3">
      <c r="A884" s="64"/>
      <c r="B884" s="61"/>
      <c r="C884" s="67" t="str">
        <f>IF(B884="","",IFERROR(INDEX(Carteira!$B$5:$B$204,MATCH(B884,Carteira!$A$5:$A$204,0)),"Obra não cadastrada"))</f>
        <v/>
      </c>
      <c r="D884" s="62"/>
      <c r="E884" s="62"/>
      <c r="F884" s="63"/>
    </row>
    <row r="885" spans="1:6" x14ac:dyDescent="0.3">
      <c r="A885" s="64"/>
      <c r="B885" s="61"/>
      <c r="C885" s="67" t="str">
        <f>IF(B885="","",IFERROR(INDEX(Carteira!$B$5:$B$204,MATCH(B885,Carteira!$A$5:$A$204,0)),"Obra não cadastrada"))</f>
        <v/>
      </c>
      <c r="D885" s="62"/>
      <c r="E885" s="62"/>
      <c r="F885" s="63"/>
    </row>
    <row r="886" spans="1:6" x14ac:dyDescent="0.3">
      <c r="A886" s="64"/>
      <c r="B886" s="61"/>
      <c r="C886" s="67" t="str">
        <f>IF(B886="","",IFERROR(INDEX(Carteira!$B$5:$B$204,MATCH(B886,Carteira!$A$5:$A$204,0)),"Obra não cadastrada"))</f>
        <v/>
      </c>
      <c r="D886" s="62"/>
      <c r="E886" s="62"/>
      <c r="F886" s="63"/>
    </row>
    <row r="887" spans="1:6" x14ac:dyDescent="0.3">
      <c r="A887" s="64"/>
      <c r="B887" s="61"/>
      <c r="C887" s="67" t="str">
        <f>IF(B887="","",IFERROR(INDEX(Carteira!$B$5:$B$204,MATCH(B887,Carteira!$A$5:$A$204,0)),"Obra não cadastrada"))</f>
        <v/>
      </c>
      <c r="D887" s="62"/>
      <c r="E887" s="62"/>
      <c r="F887" s="63"/>
    </row>
    <row r="888" spans="1:6" x14ac:dyDescent="0.3">
      <c r="A888" s="64"/>
      <c r="B888" s="61"/>
      <c r="C888" s="67" t="str">
        <f>IF(B888="","",IFERROR(INDEX(Carteira!$B$5:$B$204,MATCH(B888,Carteira!$A$5:$A$204,0)),"Obra não cadastrada"))</f>
        <v/>
      </c>
      <c r="D888" s="62"/>
      <c r="E888" s="62"/>
      <c r="F888" s="63"/>
    </row>
    <row r="889" spans="1:6" x14ac:dyDescent="0.3">
      <c r="A889" s="64"/>
      <c r="B889" s="61"/>
      <c r="C889" s="67" t="str">
        <f>IF(B889="","",IFERROR(INDEX(Carteira!$B$5:$B$204,MATCH(B889,Carteira!$A$5:$A$204,0)),"Obra não cadastrada"))</f>
        <v/>
      </c>
      <c r="D889" s="62"/>
      <c r="E889" s="62"/>
      <c r="F889" s="63"/>
    </row>
    <row r="890" spans="1:6" x14ac:dyDescent="0.3">
      <c r="A890" s="64"/>
      <c r="B890" s="61"/>
      <c r="C890" s="67" t="str">
        <f>IF(B890="","",IFERROR(INDEX(Carteira!$B$5:$B$204,MATCH(B890,Carteira!$A$5:$A$204,0)),"Obra não cadastrada"))</f>
        <v/>
      </c>
      <c r="D890" s="62"/>
      <c r="E890" s="62"/>
      <c r="F890" s="63"/>
    </row>
    <row r="891" spans="1:6" x14ac:dyDescent="0.3">
      <c r="A891" s="64"/>
      <c r="B891" s="61"/>
      <c r="C891" s="67" t="str">
        <f>IF(B891="","",IFERROR(INDEX(Carteira!$B$5:$B$204,MATCH(B891,Carteira!$A$5:$A$204,0)),"Obra não cadastrada"))</f>
        <v/>
      </c>
      <c r="D891" s="62"/>
      <c r="E891" s="62"/>
      <c r="F891" s="63"/>
    </row>
    <row r="892" spans="1:6" x14ac:dyDescent="0.3">
      <c r="A892" s="64"/>
      <c r="B892" s="61"/>
      <c r="C892" s="67" t="str">
        <f>IF(B892="","",IFERROR(INDEX(Carteira!$B$5:$B$204,MATCH(B892,Carteira!$A$5:$A$204,0)),"Obra não cadastrada"))</f>
        <v/>
      </c>
      <c r="D892" s="62"/>
      <c r="E892" s="62"/>
      <c r="F892" s="63"/>
    </row>
    <row r="893" spans="1:6" x14ac:dyDescent="0.3">
      <c r="A893" s="64"/>
      <c r="B893" s="61"/>
      <c r="C893" s="67" t="str">
        <f>IF(B893="","",IFERROR(INDEX(Carteira!$B$5:$B$204,MATCH(B893,Carteira!$A$5:$A$204,0)),"Obra não cadastrada"))</f>
        <v/>
      </c>
      <c r="D893" s="62"/>
      <c r="E893" s="62"/>
      <c r="F893" s="63"/>
    </row>
    <row r="894" spans="1:6" x14ac:dyDescent="0.3">
      <c r="A894" s="64"/>
      <c r="B894" s="61"/>
      <c r="C894" s="67" t="str">
        <f>IF(B894="","",IFERROR(INDEX(Carteira!$B$5:$B$204,MATCH(B894,Carteira!$A$5:$A$204,0)),"Obra não cadastrada"))</f>
        <v/>
      </c>
      <c r="D894" s="62"/>
      <c r="E894" s="62"/>
      <c r="F894" s="63"/>
    </row>
    <row r="895" spans="1:6" x14ac:dyDescent="0.3">
      <c r="A895" s="64"/>
      <c r="B895" s="61"/>
      <c r="C895" s="67" t="str">
        <f>IF(B895="","",IFERROR(INDEX(Carteira!$B$5:$B$204,MATCH(B895,Carteira!$A$5:$A$204,0)),"Obra não cadastrada"))</f>
        <v/>
      </c>
      <c r="D895" s="62"/>
      <c r="E895" s="62"/>
      <c r="F895" s="63"/>
    </row>
    <row r="896" spans="1:6" x14ac:dyDescent="0.3">
      <c r="A896" s="64"/>
      <c r="B896" s="61"/>
      <c r="C896" s="67" t="str">
        <f>IF(B896="","",IFERROR(INDEX(Carteira!$B$5:$B$204,MATCH(B896,Carteira!$A$5:$A$204,0)),"Obra não cadastrada"))</f>
        <v/>
      </c>
      <c r="D896" s="62"/>
      <c r="E896" s="62"/>
      <c r="F896" s="63"/>
    </row>
    <row r="897" spans="1:6" x14ac:dyDescent="0.3">
      <c r="A897" s="64"/>
      <c r="B897" s="61"/>
      <c r="C897" s="67" t="str">
        <f>IF(B897="","",IFERROR(INDEX(Carteira!$B$5:$B$204,MATCH(B897,Carteira!$A$5:$A$204,0)),"Obra não cadastrada"))</f>
        <v/>
      </c>
      <c r="D897" s="62"/>
      <c r="E897" s="62"/>
      <c r="F897" s="63"/>
    </row>
    <row r="898" spans="1:6" x14ac:dyDescent="0.3">
      <c r="A898" s="64"/>
      <c r="B898" s="61"/>
      <c r="C898" s="67" t="str">
        <f>IF(B898="","",IFERROR(INDEX(Carteira!$B$5:$B$204,MATCH(B898,Carteira!$A$5:$A$204,0)),"Obra não cadastrada"))</f>
        <v/>
      </c>
      <c r="D898" s="62"/>
      <c r="E898" s="62"/>
      <c r="F898" s="63"/>
    </row>
    <row r="899" spans="1:6" x14ac:dyDescent="0.3">
      <c r="A899" s="64"/>
      <c r="B899" s="61"/>
      <c r="C899" s="67" t="str">
        <f>IF(B899="","",IFERROR(INDEX(Carteira!$B$5:$B$204,MATCH(B899,Carteira!$A$5:$A$204,0)),"Obra não cadastrada"))</f>
        <v/>
      </c>
      <c r="D899" s="62"/>
      <c r="E899" s="62"/>
      <c r="F899" s="63"/>
    </row>
    <row r="900" spans="1:6" x14ac:dyDescent="0.3">
      <c r="A900" s="64"/>
      <c r="B900" s="61"/>
      <c r="C900" s="67" t="str">
        <f>IF(B900="","",IFERROR(INDEX(Carteira!$B$5:$B$204,MATCH(B900,Carteira!$A$5:$A$204,0)),"Obra não cadastrada"))</f>
        <v/>
      </c>
      <c r="D900" s="62"/>
      <c r="E900" s="62"/>
      <c r="F900" s="63"/>
    </row>
    <row r="901" spans="1:6" x14ac:dyDescent="0.3">
      <c r="A901" s="64"/>
      <c r="B901" s="61"/>
      <c r="C901" s="67" t="str">
        <f>IF(B901="","",IFERROR(INDEX(Carteira!$B$5:$B$204,MATCH(B901,Carteira!$A$5:$A$204,0)),"Obra não cadastrada"))</f>
        <v/>
      </c>
      <c r="D901" s="62"/>
      <c r="E901" s="62"/>
      <c r="F901" s="63"/>
    </row>
    <row r="902" spans="1:6" x14ac:dyDescent="0.3">
      <c r="A902" s="64"/>
      <c r="B902" s="61"/>
      <c r="C902" s="67" t="str">
        <f>IF(B902="","",IFERROR(INDEX(Carteira!$B$5:$B$204,MATCH(B902,Carteira!$A$5:$A$204,0)),"Obra não cadastrada"))</f>
        <v/>
      </c>
      <c r="D902" s="62"/>
      <c r="E902" s="62"/>
      <c r="F902" s="63"/>
    </row>
    <row r="903" spans="1:6" x14ac:dyDescent="0.3">
      <c r="A903" s="64"/>
      <c r="B903" s="61"/>
      <c r="C903" s="67" t="str">
        <f>IF(B903="","",IFERROR(INDEX(Carteira!$B$5:$B$204,MATCH(B903,Carteira!$A$5:$A$204,0)),"Obra não cadastrada"))</f>
        <v/>
      </c>
      <c r="D903" s="62"/>
      <c r="E903" s="62"/>
      <c r="F903" s="63"/>
    </row>
    <row r="904" spans="1:6" x14ac:dyDescent="0.3">
      <c r="A904" s="64"/>
      <c r="B904" s="61"/>
      <c r="C904" s="67" t="str">
        <f>IF(B904="","",IFERROR(INDEX(Carteira!$B$5:$B$204,MATCH(B904,Carteira!$A$5:$A$204,0)),"Obra não cadastrada"))</f>
        <v/>
      </c>
      <c r="D904" s="62"/>
      <c r="E904" s="62"/>
      <c r="F904" s="63"/>
    </row>
    <row r="905" spans="1:6" x14ac:dyDescent="0.3">
      <c r="A905" s="64"/>
      <c r="B905" s="61"/>
      <c r="C905" s="67" t="str">
        <f>IF(B905="","",IFERROR(INDEX(Carteira!$B$5:$B$204,MATCH(B905,Carteira!$A$5:$A$204,0)),"Obra não cadastrada"))</f>
        <v/>
      </c>
      <c r="D905" s="62"/>
      <c r="E905" s="62"/>
      <c r="F905" s="63"/>
    </row>
    <row r="906" spans="1:6" x14ac:dyDescent="0.3">
      <c r="A906" s="64"/>
      <c r="B906" s="61"/>
      <c r="C906" s="67" t="str">
        <f>IF(B906="","",IFERROR(INDEX(Carteira!$B$5:$B$204,MATCH(B906,Carteira!$A$5:$A$204,0)),"Obra não cadastrada"))</f>
        <v/>
      </c>
      <c r="D906" s="62"/>
      <c r="E906" s="62"/>
      <c r="F906" s="63"/>
    </row>
    <row r="907" spans="1:6" x14ac:dyDescent="0.3">
      <c r="A907" s="64"/>
      <c r="B907" s="61"/>
      <c r="C907" s="67" t="str">
        <f>IF(B907="","",IFERROR(INDEX(Carteira!$B$5:$B$204,MATCH(B907,Carteira!$A$5:$A$204,0)),"Obra não cadastrada"))</f>
        <v/>
      </c>
      <c r="D907" s="62"/>
      <c r="E907" s="62"/>
      <c r="F907" s="63"/>
    </row>
    <row r="908" spans="1:6" x14ac:dyDescent="0.3">
      <c r="A908" s="64"/>
      <c r="B908" s="61"/>
      <c r="C908" s="67" t="str">
        <f>IF(B908="","",IFERROR(INDEX(Carteira!$B$5:$B$204,MATCH(B908,Carteira!$A$5:$A$204,0)),"Obra não cadastrada"))</f>
        <v/>
      </c>
      <c r="D908" s="62"/>
      <c r="E908" s="62"/>
      <c r="F908" s="63"/>
    </row>
    <row r="909" spans="1:6" x14ac:dyDescent="0.3">
      <c r="A909" s="64"/>
      <c r="B909" s="61"/>
      <c r="C909" s="67" t="str">
        <f>IF(B909="","",IFERROR(INDEX(Carteira!$B$5:$B$204,MATCH(B909,Carteira!$A$5:$A$204,0)),"Obra não cadastrada"))</f>
        <v/>
      </c>
      <c r="D909" s="62"/>
      <c r="E909" s="62"/>
      <c r="F909" s="63"/>
    </row>
    <row r="910" spans="1:6" x14ac:dyDescent="0.3">
      <c r="A910" s="64"/>
      <c r="B910" s="61"/>
      <c r="C910" s="67" t="str">
        <f>IF(B910="","",IFERROR(INDEX(Carteira!$B$5:$B$204,MATCH(B910,Carteira!$A$5:$A$204,0)),"Obra não cadastrada"))</f>
        <v/>
      </c>
      <c r="D910" s="62"/>
      <c r="E910" s="62"/>
      <c r="F910" s="63"/>
    </row>
    <row r="911" spans="1:6" x14ac:dyDescent="0.3">
      <c r="A911" s="64"/>
      <c r="B911" s="61"/>
      <c r="C911" s="67" t="str">
        <f>IF(B911="","",IFERROR(INDEX(Carteira!$B$5:$B$204,MATCH(B911,Carteira!$A$5:$A$204,0)),"Obra não cadastrada"))</f>
        <v/>
      </c>
      <c r="D911" s="62"/>
      <c r="E911" s="62"/>
      <c r="F911" s="63"/>
    </row>
    <row r="912" spans="1:6" x14ac:dyDescent="0.3">
      <c r="A912" s="64"/>
      <c r="B912" s="61"/>
      <c r="C912" s="67" t="str">
        <f>IF(B912="","",IFERROR(INDEX(Carteira!$B$5:$B$204,MATCH(B912,Carteira!$A$5:$A$204,0)),"Obra não cadastrada"))</f>
        <v/>
      </c>
      <c r="D912" s="62"/>
      <c r="E912" s="62"/>
      <c r="F912" s="63"/>
    </row>
    <row r="913" spans="1:6" x14ac:dyDescent="0.3">
      <c r="A913" s="64"/>
      <c r="B913" s="61"/>
      <c r="C913" s="67" t="str">
        <f>IF(B913="","",IFERROR(INDEX(Carteira!$B$5:$B$204,MATCH(B913,Carteira!$A$5:$A$204,0)),"Obra não cadastrada"))</f>
        <v/>
      </c>
      <c r="D913" s="62"/>
      <c r="E913" s="62"/>
      <c r="F913" s="63"/>
    </row>
    <row r="914" spans="1:6" x14ac:dyDescent="0.3">
      <c r="A914" s="64"/>
      <c r="B914" s="61"/>
      <c r="C914" s="67" t="str">
        <f>IF(B914="","",IFERROR(INDEX(Carteira!$B$5:$B$204,MATCH(B914,Carteira!$A$5:$A$204,0)),"Obra não cadastrada"))</f>
        <v/>
      </c>
      <c r="D914" s="62"/>
      <c r="E914" s="62"/>
      <c r="F914" s="63"/>
    </row>
    <row r="915" spans="1:6" x14ac:dyDescent="0.3">
      <c r="A915" s="64"/>
      <c r="B915" s="61"/>
      <c r="C915" s="67" t="str">
        <f>IF(B915="","",IFERROR(INDEX(Carteira!$B$5:$B$204,MATCH(B915,Carteira!$A$5:$A$204,0)),"Obra não cadastrada"))</f>
        <v/>
      </c>
      <c r="D915" s="62"/>
      <c r="E915" s="62"/>
      <c r="F915" s="63"/>
    </row>
    <row r="916" spans="1:6" x14ac:dyDescent="0.3">
      <c r="A916" s="64"/>
      <c r="B916" s="61"/>
      <c r="C916" s="67" t="str">
        <f>IF(B916="","",IFERROR(INDEX(Carteira!$B$5:$B$204,MATCH(B916,Carteira!$A$5:$A$204,0)),"Obra não cadastrada"))</f>
        <v/>
      </c>
      <c r="D916" s="62"/>
      <c r="E916" s="62"/>
      <c r="F916" s="63"/>
    </row>
    <row r="917" spans="1:6" x14ac:dyDescent="0.3">
      <c r="A917" s="64"/>
      <c r="B917" s="61"/>
      <c r="C917" s="67" t="str">
        <f>IF(B917="","",IFERROR(INDEX(Carteira!$B$5:$B$204,MATCH(B917,Carteira!$A$5:$A$204,0)),"Obra não cadastrada"))</f>
        <v/>
      </c>
      <c r="D917" s="62"/>
      <c r="E917" s="62"/>
      <c r="F917" s="63"/>
    </row>
    <row r="918" spans="1:6" x14ac:dyDescent="0.3">
      <c r="A918" s="64"/>
      <c r="B918" s="61"/>
      <c r="C918" s="67" t="str">
        <f>IF(B918="","",IFERROR(INDEX(Carteira!$B$5:$B$204,MATCH(B918,Carteira!$A$5:$A$204,0)),"Obra não cadastrada"))</f>
        <v/>
      </c>
      <c r="D918" s="62"/>
      <c r="E918" s="62"/>
      <c r="F918" s="63"/>
    </row>
    <row r="919" spans="1:6" x14ac:dyDescent="0.3">
      <c r="A919" s="64"/>
      <c r="B919" s="61"/>
      <c r="C919" s="67" t="str">
        <f>IF(B919="","",IFERROR(INDEX(Carteira!$B$5:$B$204,MATCH(B919,Carteira!$A$5:$A$204,0)),"Obra não cadastrada"))</f>
        <v/>
      </c>
      <c r="D919" s="62"/>
      <c r="E919" s="62"/>
      <c r="F919" s="63"/>
    </row>
    <row r="920" spans="1:6" x14ac:dyDescent="0.3">
      <c r="A920" s="64"/>
      <c r="B920" s="61"/>
      <c r="C920" s="67" t="str">
        <f>IF(B920="","",IFERROR(INDEX(Carteira!$B$5:$B$204,MATCH(B920,Carteira!$A$5:$A$204,0)),"Obra não cadastrada"))</f>
        <v/>
      </c>
      <c r="D920" s="62"/>
      <c r="E920" s="62"/>
      <c r="F920" s="63"/>
    </row>
    <row r="921" spans="1:6" x14ac:dyDescent="0.3">
      <c r="A921" s="64"/>
      <c r="B921" s="61"/>
      <c r="C921" s="67" t="str">
        <f>IF(B921="","",IFERROR(INDEX(Carteira!$B$5:$B$204,MATCH(B921,Carteira!$A$5:$A$204,0)),"Obra não cadastrada"))</f>
        <v/>
      </c>
      <c r="D921" s="62"/>
      <c r="E921" s="62"/>
      <c r="F921" s="63"/>
    </row>
    <row r="922" spans="1:6" x14ac:dyDescent="0.3">
      <c r="A922" s="64"/>
      <c r="B922" s="61"/>
      <c r="C922" s="67" t="str">
        <f>IF(B922="","",IFERROR(INDEX(Carteira!$B$5:$B$204,MATCH(B922,Carteira!$A$5:$A$204,0)),"Obra não cadastrada"))</f>
        <v/>
      </c>
      <c r="D922" s="62"/>
      <c r="E922" s="62"/>
      <c r="F922" s="63"/>
    </row>
    <row r="923" spans="1:6" x14ac:dyDescent="0.3">
      <c r="A923" s="64"/>
      <c r="B923" s="61"/>
      <c r="C923" s="67" t="str">
        <f>IF(B923="","",IFERROR(INDEX(Carteira!$B$5:$B$204,MATCH(B923,Carteira!$A$5:$A$204,0)),"Obra não cadastrada"))</f>
        <v/>
      </c>
      <c r="D923" s="62"/>
      <c r="E923" s="62"/>
      <c r="F923" s="63"/>
    </row>
    <row r="924" spans="1:6" x14ac:dyDescent="0.3">
      <c r="A924" s="64"/>
      <c r="B924" s="61"/>
      <c r="C924" s="67" t="str">
        <f>IF(B924="","",IFERROR(INDEX(Carteira!$B$5:$B$204,MATCH(B924,Carteira!$A$5:$A$204,0)),"Obra não cadastrada"))</f>
        <v/>
      </c>
      <c r="D924" s="62"/>
      <c r="E924" s="62"/>
      <c r="F924" s="63"/>
    </row>
    <row r="925" spans="1:6" x14ac:dyDescent="0.3">
      <c r="A925" s="64"/>
      <c r="B925" s="61"/>
      <c r="C925" s="67" t="str">
        <f>IF(B925="","",IFERROR(INDEX(Carteira!$B$5:$B$204,MATCH(B925,Carteira!$A$5:$A$204,0)),"Obra não cadastrada"))</f>
        <v/>
      </c>
      <c r="D925" s="62"/>
      <c r="E925" s="62"/>
      <c r="F925" s="63"/>
    </row>
    <row r="926" spans="1:6" x14ac:dyDescent="0.3">
      <c r="A926" s="64"/>
      <c r="B926" s="61"/>
      <c r="C926" s="67" t="str">
        <f>IF(B926="","",IFERROR(INDEX(Carteira!$B$5:$B$204,MATCH(B926,Carteira!$A$5:$A$204,0)),"Obra não cadastrada"))</f>
        <v/>
      </c>
      <c r="D926" s="62"/>
      <c r="E926" s="62"/>
      <c r="F926" s="63"/>
    </row>
    <row r="927" spans="1:6" x14ac:dyDescent="0.3">
      <c r="A927" s="64"/>
      <c r="B927" s="61"/>
      <c r="C927" s="67" t="str">
        <f>IF(B927="","",IFERROR(INDEX(Carteira!$B$5:$B$204,MATCH(B927,Carteira!$A$5:$A$204,0)),"Obra não cadastrada"))</f>
        <v/>
      </c>
      <c r="D927" s="62"/>
      <c r="E927" s="62"/>
      <c r="F927" s="63"/>
    </row>
    <row r="928" spans="1:6" x14ac:dyDescent="0.3">
      <c r="A928" s="64"/>
      <c r="B928" s="61"/>
      <c r="C928" s="67" t="str">
        <f>IF(B928="","",IFERROR(INDEX(Carteira!$B$5:$B$204,MATCH(B928,Carteira!$A$5:$A$204,0)),"Obra não cadastrada"))</f>
        <v/>
      </c>
      <c r="D928" s="62"/>
      <c r="E928" s="62"/>
      <c r="F928" s="63"/>
    </row>
    <row r="929" spans="1:6" x14ac:dyDescent="0.3">
      <c r="A929" s="64"/>
      <c r="B929" s="61"/>
      <c r="C929" s="67" t="str">
        <f>IF(B929="","",IFERROR(INDEX(Carteira!$B$5:$B$204,MATCH(B929,Carteira!$A$5:$A$204,0)),"Obra não cadastrada"))</f>
        <v/>
      </c>
      <c r="D929" s="62"/>
      <c r="E929" s="62"/>
      <c r="F929" s="63"/>
    </row>
    <row r="930" spans="1:6" x14ac:dyDescent="0.3">
      <c r="A930" s="64"/>
      <c r="B930" s="61"/>
      <c r="C930" s="67" t="str">
        <f>IF(B930="","",IFERROR(INDEX(Carteira!$B$5:$B$204,MATCH(B930,Carteira!$A$5:$A$204,0)),"Obra não cadastrada"))</f>
        <v/>
      </c>
      <c r="D930" s="62"/>
      <c r="E930" s="62"/>
      <c r="F930" s="63"/>
    </row>
    <row r="931" spans="1:6" x14ac:dyDescent="0.3">
      <c r="A931" s="64"/>
      <c r="B931" s="61"/>
      <c r="C931" s="67" t="str">
        <f>IF(B931="","",IFERROR(INDEX(Carteira!$B$5:$B$204,MATCH(B931,Carteira!$A$5:$A$204,0)),"Obra não cadastrada"))</f>
        <v/>
      </c>
      <c r="D931" s="62"/>
      <c r="E931" s="62"/>
      <c r="F931" s="63"/>
    </row>
    <row r="932" spans="1:6" x14ac:dyDescent="0.3">
      <c r="A932" s="64"/>
      <c r="B932" s="61"/>
      <c r="C932" s="67" t="str">
        <f>IF(B932="","",IFERROR(INDEX(Carteira!$B$5:$B$204,MATCH(B932,Carteira!$A$5:$A$204,0)),"Obra não cadastrada"))</f>
        <v/>
      </c>
      <c r="D932" s="62"/>
      <c r="E932" s="62"/>
      <c r="F932" s="63"/>
    </row>
    <row r="933" spans="1:6" x14ac:dyDescent="0.3">
      <c r="A933" s="64"/>
      <c r="B933" s="61"/>
      <c r="C933" s="67" t="str">
        <f>IF(B933="","",IFERROR(INDEX(Carteira!$B$5:$B$204,MATCH(B933,Carteira!$A$5:$A$204,0)),"Obra não cadastrada"))</f>
        <v/>
      </c>
      <c r="D933" s="62"/>
      <c r="E933" s="62"/>
      <c r="F933" s="63"/>
    </row>
    <row r="934" spans="1:6" x14ac:dyDescent="0.3">
      <c r="A934" s="64"/>
      <c r="B934" s="61"/>
      <c r="C934" s="67" t="str">
        <f>IF(B934="","",IFERROR(INDEX(Carteira!$B$5:$B$204,MATCH(B934,Carteira!$A$5:$A$204,0)),"Obra não cadastrada"))</f>
        <v/>
      </c>
      <c r="D934" s="62"/>
      <c r="E934" s="62"/>
      <c r="F934" s="63"/>
    </row>
    <row r="935" spans="1:6" x14ac:dyDescent="0.3">
      <c r="A935" s="64"/>
      <c r="B935" s="61"/>
      <c r="C935" s="67" t="str">
        <f>IF(B935="","",IFERROR(INDEX(Carteira!$B$5:$B$204,MATCH(B935,Carteira!$A$5:$A$204,0)),"Obra não cadastrada"))</f>
        <v/>
      </c>
      <c r="D935" s="62"/>
      <c r="E935" s="62"/>
      <c r="F935" s="63"/>
    </row>
    <row r="936" spans="1:6" x14ac:dyDescent="0.3">
      <c r="A936" s="64"/>
      <c r="B936" s="61"/>
      <c r="C936" s="67" t="str">
        <f>IF(B936="","",IFERROR(INDEX(Carteira!$B$5:$B$204,MATCH(B936,Carteira!$A$5:$A$204,0)),"Obra não cadastrada"))</f>
        <v/>
      </c>
      <c r="D936" s="62"/>
      <c r="E936" s="62"/>
      <c r="F936" s="63"/>
    </row>
    <row r="937" spans="1:6" x14ac:dyDescent="0.3">
      <c r="A937" s="64"/>
      <c r="B937" s="61"/>
      <c r="C937" s="67" t="str">
        <f>IF(B937="","",IFERROR(INDEX(Carteira!$B$5:$B$204,MATCH(B937,Carteira!$A$5:$A$204,0)),"Obra não cadastrada"))</f>
        <v/>
      </c>
      <c r="D937" s="62"/>
      <c r="E937" s="62"/>
      <c r="F937" s="63"/>
    </row>
    <row r="938" spans="1:6" x14ac:dyDescent="0.3">
      <c r="A938" s="64"/>
      <c r="B938" s="61"/>
      <c r="C938" s="67" t="str">
        <f>IF(B938="","",IFERROR(INDEX(Carteira!$B$5:$B$204,MATCH(B938,Carteira!$A$5:$A$204,0)),"Obra não cadastrada"))</f>
        <v/>
      </c>
      <c r="D938" s="62"/>
      <c r="E938" s="62"/>
      <c r="F938" s="63"/>
    </row>
    <row r="939" spans="1:6" x14ac:dyDescent="0.3">
      <c r="A939" s="64"/>
      <c r="B939" s="61"/>
      <c r="C939" s="67" t="str">
        <f>IF(B939="","",IFERROR(INDEX(Carteira!$B$5:$B$204,MATCH(B939,Carteira!$A$5:$A$204,0)),"Obra não cadastrada"))</f>
        <v/>
      </c>
      <c r="D939" s="62"/>
      <c r="E939" s="62"/>
      <c r="F939" s="63"/>
    </row>
    <row r="940" spans="1:6" x14ac:dyDescent="0.3">
      <c r="A940" s="64"/>
      <c r="B940" s="61"/>
      <c r="C940" s="67" t="str">
        <f>IF(B940="","",IFERROR(INDEX(Carteira!$B$5:$B$204,MATCH(B940,Carteira!$A$5:$A$204,0)),"Obra não cadastrada"))</f>
        <v/>
      </c>
      <c r="D940" s="62"/>
      <c r="E940" s="62"/>
      <c r="F940" s="63"/>
    </row>
    <row r="941" spans="1:6" x14ac:dyDescent="0.3">
      <c r="A941" s="64"/>
      <c r="B941" s="61"/>
      <c r="C941" s="67" t="str">
        <f>IF(B941="","",IFERROR(INDEX(Carteira!$B$5:$B$204,MATCH(B941,Carteira!$A$5:$A$204,0)),"Obra não cadastrada"))</f>
        <v/>
      </c>
      <c r="D941" s="62"/>
      <c r="E941" s="62"/>
      <c r="F941" s="63"/>
    </row>
    <row r="942" spans="1:6" x14ac:dyDescent="0.3">
      <c r="A942" s="64"/>
      <c r="B942" s="61"/>
      <c r="C942" s="67" t="str">
        <f>IF(B942="","",IFERROR(INDEX(Carteira!$B$5:$B$204,MATCH(B942,Carteira!$A$5:$A$204,0)),"Obra não cadastrada"))</f>
        <v/>
      </c>
      <c r="D942" s="62"/>
      <c r="E942" s="62"/>
      <c r="F942" s="63"/>
    </row>
    <row r="943" spans="1:6" x14ac:dyDescent="0.3">
      <c r="A943" s="64"/>
      <c r="B943" s="61"/>
      <c r="C943" s="67" t="str">
        <f>IF(B943="","",IFERROR(INDEX(Carteira!$B$5:$B$204,MATCH(B943,Carteira!$A$5:$A$204,0)),"Obra não cadastrada"))</f>
        <v/>
      </c>
      <c r="D943" s="62"/>
      <c r="E943" s="62"/>
      <c r="F943" s="63"/>
    </row>
    <row r="944" spans="1:6" x14ac:dyDescent="0.3">
      <c r="A944" s="64"/>
      <c r="B944" s="61"/>
      <c r="C944" s="67" t="str">
        <f>IF(B944="","",IFERROR(INDEX(Carteira!$B$5:$B$204,MATCH(B944,Carteira!$A$5:$A$204,0)),"Obra não cadastrada"))</f>
        <v/>
      </c>
      <c r="D944" s="62"/>
      <c r="E944" s="62"/>
      <c r="F944" s="63"/>
    </row>
    <row r="945" spans="1:6" x14ac:dyDescent="0.3">
      <c r="A945" s="64"/>
      <c r="B945" s="61"/>
      <c r="C945" s="67" t="str">
        <f>IF(B945="","",IFERROR(INDEX(Carteira!$B$5:$B$204,MATCH(B945,Carteira!$A$5:$A$204,0)),"Obra não cadastrada"))</f>
        <v/>
      </c>
      <c r="D945" s="62"/>
      <c r="E945" s="62"/>
      <c r="F945" s="63"/>
    </row>
    <row r="946" spans="1:6" x14ac:dyDescent="0.3">
      <c r="A946" s="64"/>
      <c r="B946" s="61"/>
      <c r="C946" s="67" t="str">
        <f>IF(B946="","",IFERROR(INDEX(Carteira!$B$5:$B$204,MATCH(B946,Carteira!$A$5:$A$204,0)),"Obra não cadastrada"))</f>
        <v/>
      </c>
      <c r="D946" s="62"/>
      <c r="E946" s="62"/>
      <c r="F946" s="63"/>
    </row>
    <row r="947" spans="1:6" x14ac:dyDescent="0.3">
      <c r="A947" s="64"/>
      <c r="B947" s="61"/>
      <c r="C947" s="67" t="str">
        <f>IF(B947="","",IFERROR(INDEX(Carteira!$B$5:$B$204,MATCH(B947,Carteira!$A$5:$A$204,0)),"Obra não cadastrada"))</f>
        <v/>
      </c>
      <c r="D947" s="62"/>
      <c r="E947" s="62"/>
      <c r="F947" s="63"/>
    </row>
    <row r="948" spans="1:6" x14ac:dyDescent="0.3">
      <c r="A948" s="64"/>
      <c r="B948" s="61"/>
      <c r="C948" s="67" t="str">
        <f>IF(B948="","",IFERROR(INDEX(Carteira!$B$5:$B$204,MATCH(B948,Carteira!$A$5:$A$204,0)),"Obra não cadastrada"))</f>
        <v/>
      </c>
      <c r="D948" s="62"/>
      <c r="E948" s="62"/>
      <c r="F948" s="63"/>
    </row>
    <row r="949" spans="1:6" x14ac:dyDescent="0.3">
      <c r="A949" s="64"/>
      <c r="B949" s="61"/>
      <c r="C949" s="67" t="str">
        <f>IF(B949="","",IFERROR(INDEX(Carteira!$B$5:$B$204,MATCH(B949,Carteira!$A$5:$A$204,0)),"Obra não cadastrada"))</f>
        <v/>
      </c>
      <c r="D949" s="62"/>
      <c r="E949" s="62"/>
      <c r="F949" s="63"/>
    </row>
    <row r="950" spans="1:6" x14ac:dyDescent="0.3">
      <c r="A950" s="64"/>
      <c r="B950" s="61"/>
      <c r="C950" s="67" t="str">
        <f>IF(B950="","",IFERROR(INDEX(Carteira!$B$5:$B$204,MATCH(B950,Carteira!$A$5:$A$204,0)),"Obra não cadastrada"))</f>
        <v/>
      </c>
      <c r="D950" s="62"/>
      <c r="E950" s="62"/>
      <c r="F950" s="63"/>
    </row>
    <row r="951" spans="1:6" x14ac:dyDescent="0.3">
      <c r="A951" s="64"/>
      <c r="B951" s="61"/>
      <c r="C951" s="67" t="str">
        <f>IF(B951="","",IFERROR(INDEX(Carteira!$B$5:$B$204,MATCH(B951,Carteira!$A$5:$A$204,0)),"Obra não cadastrada"))</f>
        <v/>
      </c>
      <c r="D951" s="62"/>
      <c r="E951" s="62"/>
      <c r="F951" s="63"/>
    </row>
    <row r="952" spans="1:6" x14ac:dyDescent="0.3">
      <c r="A952" s="64"/>
      <c r="B952" s="61"/>
      <c r="C952" s="67" t="str">
        <f>IF(B952="","",IFERROR(INDEX(Carteira!$B$5:$B$204,MATCH(B952,Carteira!$A$5:$A$204,0)),"Obra não cadastrada"))</f>
        <v/>
      </c>
      <c r="D952" s="62"/>
      <c r="E952" s="62"/>
      <c r="F952" s="63"/>
    </row>
    <row r="953" spans="1:6" x14ac:dyDescent="0.3">
      <c r="A953" s="64"/>
      <c r="B953" s="61"/>
      <c r="C953" s="67" t="str">
        <f>IF(B953="","",IFERROR(INDEX(Carteira!$B$5:$B$204,MATCH(B953,Carteira!$A$5:$A$204,0)),"Obra não cadastrada"))</f>
        <v/>
      </c>
      <c r="D953" s="62"/>
      <c r="E953" s="62"/>
      <c r="F953" s="63"/>
    </row>
    <row r="954" spans="1:6" x14ac:dyDescent="0.3">
      <c r="A954" s="64"/>
      <c r="B954" s="61"/>
      <c r="C954" s="67" t="str">
        <f>IF(B954="","",IFERROR(INDEX(Carteira!$B$5:$B$204,MATCH(B954,Carteira!$A$5:$A$204,0)),"Obra não cadastrada"))</f>
        <v/>
      </c>
      <c r="D954" s="62"/>
      <c r="E954" s="62"/>
      <c r="F954" s="63"/>
    </row>
    <row r="955" spans="1:6" x14ac:dyDescent="0.3">
      <c r="A955" s="64"/>
      <c r="B955" s="61"/>
      <c r="C955" s="67" t="str">
        <f>IF(B955="","",IFERROR(INDEX(Carteira!$B$5:$B$204,MATCH(B955,Carteira!$A$5:$A$204,0)),"Obra não cadastrada"))</f>
        <v/>
      </c>
      <c r="D955" s="62"/>
      <c r="E955" s="62"/>
      <c r="F955" s="63"/>
    </row>
    <row r="956" spans="1:6" x14ac:dyDescent="0.3">
      <c r="A956" s="64"/>
      <c r="B956" s="61"/>
      <c r="C956" s="67" t="str">
        <f>IF(B956="","",IFERROR(INDEX(Carteira!$B$5:$B$204,MATCH(B956,Carteira!$A$5:$A$204,0)),"Obra não cadastrada"))</f>
        <v/>
      </c>
      <c r="D956" s="62"/>
      <c r="E956" s="62"/>
      <c r="F956" s="63"/>
    </row>
    <row r="957" spans="1:6" x14ac:dyDescent="0.3">
      <c r="A957" s="64"/>
      <c r="B957" s="61"/>
      <c r="C957" s="67" t="str">
        <f>IF(B957="","",IFERROR(INDEX(Carteira!$B$5:$B$204,MATCH(B957,Carteira!$A$5:$A$204,0)),"Obra não cadastrada"))</f>
        <v/>
      </c>
      <c r="D957" s="62"/>
      <c r="E957" s="62"/>
      <c r="F957" s="63"/>
    </row>
    <row r="958" spans="1:6" x14ac:dyDescent="0.3">
      <c r="A958" s="64"/>
      <c r="B958" s="61"/>
      <c r="C958" s="67" t="str">
        <f>IF(B958="","",IFERROR(INDEX(Carteira!$B$5:$B$204,MATCH(B958,Carteira!$A$5:$A$204,0)),"Obra não cadastrada"))</f>
        <v/>
      </c>
      <c r="D958" s="62"/>
      <c r="E958" s="62"/>
      <c r="F958" s="63"/>
    </row>
    <row r="959" spans="1:6" x14ac:dyDescent="0.3">
      <c r="A959" s="64"/>
      <c r="B959" s="61"/>
      <c r="C959" s="67" t="str">
        <f>IF(B959="","",IFERROR(INDEX(Carteira!$B$5:$B$204,MATCH(B959,Carteira!$A$5:$A$204,0)),"Obra não cadastrada"))</f>
        <v/>
      </c>
      <c r="D959" s="62"/>
      <c r="E959" s="62"/>
      <c r="F959" s="63"/>
    </row>
    <row r="960" spans="1:6" x14ac:dyDescent="0.3">
      <c r="A960" s="64"/>
      <c r="B960" s="61"/>
      <c r="C960" s="67" t="str">
        <f>IF(B960="","",IFERROR(INDEX(Carteira!$B$5:$B$204,MATCH(B960,Carteira!$A$5:$A$204,0)),"Obra não cadastrada"))</f>
        <v/>
      </c>
      <c r="D960" s="62"/>
      <c r="E960" s="62"/>
      <c r="F960" s="63"/>
    </row>
    <row r="961" spans="1:6" x14ac:dyDescent="0.3">
      <c r="A961" s="64"/>
      <c r="B961" s="61"/>
      <c r="C961" s="67" t="str">
        <f>IF(B961="","",IFERROR(INDEX(Carteira!$B$5:$B$204,MATCH(B961,Carteira!$A$5:$A$204,0)),"Obra não cadastrada"))</f>
        <v/>
      </c>
      <c r="D961" s="62"/>
      <c r="E961" s="62"/>
      <c r="F961" s="63"/>
    </row>
    <row r="962" spans="1:6" x14ac:dyDescent="0.3">
      <c r="A962" s="64"/>
      <c r="B962" s="61"/>
      <c r="C962" s="67" t="str">
        <f>IF(B962="","",IFERROR(INDEX(Carteira!$B$5:$B$204,MATCH(B962,Carteira!$A$5:$A$204,0)),"Obra não cadastrada"))</f>
        <v/>
      </c>
      <c r="D962" s="62"/>
      <c r="E962" s="62"/>
      <c r="F962" s="63"/>
    </row>
    <row r="963" spans="1:6" x14ac:dyDescent="0.3">
      <c r="A963" s="64"/>
      <c r="B963" s="61"/>
      <c r="C963" s="67" t="str">
        <f>IF(B963="","",IFERROR(INDEX(Carteira!$B$5:$B$204,MATCH(B963,Carteira!$A$5:$A$204,0)),"Obra não cadastrada"))</f>
        <v/>
      </c>
      <c r="D963" s="62"/>
      <c r="E963" s="62"/>
      <c r="F963" s="63"/>
    </row>
    <row r="964" spans="1:6" x14ac:dyDescent="0.3">
      <c r="A964" s="64"/>
      <c r="B964" s="61"/>
      <c r="C964" s="67" t="str">
        <f>IF(B964="","",IFERROR(INDEX(Carteira!$B$5:$B$204,MATCH(B964,Carteira!$A$5:$A$204,0)),"Obra não cadastrada"))</f>
        <v/>
      </c>
      <c r="D964" s="62"/>
      <c r="E964" s="62"/>
      <c r="F964" s="63"/>
    </row>
    <row r="965" spans="1:6" x14ac:dyDescent="0.3">
      <c r="A965" s="64"/>
      <c r="B965" s="61"/>
      <c r="C965" s="67" t="str">
        <f>IF(B965="","",IFERROR(INDEX(Carteira!$B$5:$B$204,MATCH(B965,Carteira!$A$5:$A$204,0)),"Obra não cadastrada"))</f>
        <v/>
      </c>
      <c r="D965" s="62"/>
      <c r="E965" s="62"/>
      <c r="F965" s="63"/>
    </row>
    <row r="966" spans="1:6" x14ac:dyDescent="0.3">
      <c r="A966" s="64"/>
      <c r="B966" s="61"/>
      <c r="C966" s="67" t="str">
        <f>IF(B966="","",IFERROR(INDEX(Carteira!$B$5:$B$204,MATCH(B966,Carteira!$A$5:$A$204,0)),"Obra não cadastrada"))</f>
        <v/>
      </c>
      <c r="D966" s="62"/>
      <c r="E966" s="62"/>
      <c r="F966" s="63"/>
    </row>
    <row r="967" spans="1:6" x14ac:dyDescent="0.3">
      <c r="A967" s="64"/>
      <c r="B967" s="61"/>
      <c r="C967" s="67" t="str">
        <f>IF(B967="","",IFERROR(INDEX(Carteira!$B$5:$B$204,MATCH(B967,Carteira!$A$5:$A$204,0)),"Obra não cadastrada"))</f>
        <v/>
      </c>
      <c r="D967" s="62"/>
      <c r="E967" s="62"/>
      <c r="F967" s="63"/>
    </row>
    <row r="968" spans="1:6" x14ac:dyDescent="0.3">
      <c r="A968" s="64"/>
      <c r="B968" s="61"/>
      <c r="C968" s="67" t="str">
        <f>IF(B968="","",IFERROR(INDEX(Carteira!$B$5:$B$204,MATCH(B968,Carteira!$A$5:$A$204,0)),"Obra não cadastrada"))</f>
        <v/>
      </c>
      <c r="D968" s="62"/>
      <c r="E968" s="62"/>
      <c r="F968" s="63"/>
    </row>
    <row r="969" spans="1:6" x14ac:dyDescent="0.3">
      <c r="A969" s="64"/>
      <c r="B969" s="61"/>
      <c r="C969" s="67" t="str">
        <f>IF(B969="","",IFERROR(INDEX(Carteira!$B$5:$B$204,MATCH(B969,Carteira!$A$5:$A$204,0)),"Obra não cadastrada"))</f>
        <v/>
      </c>
      <c r="D969" s="62"/>
      <c r="E969" s="62"/>
      <c r="F969" s="63"/>
    </row>
    <row r="970" spans="1:6" x14ac:dyDescent="0.3">
      <c r="A970" s="64"/>
      <c r="B970" s="61"/>
      <c r="C970" s="67" t="str">
        <f>IF(B970="","",IFERROR(INDEX(Carteira!$B$5:$B$204,MATCH(B970,Carteira!$A$5:$A$204,0)),"Obra não cadastrada"))</f>
        <v/>
      </c>
      <c r="D970" s="62"/>
      <c r="E970" s="62"/>
      <c r="F970" s="63"/>
    </row>
    <row r="971" spans="1:6" x14ac:dyDescent="0.3">
      <c r="A971" s="64"/>
      <c r="B971" s="61"/>
      <c r="C971" s="67" t="str">
        <f>IF(B971="","",IFERROR(INDEX(Carteira!$B$5:$B$204,MATCH(B971,Carteira!$A$5:$A$204,0)),"Obra não cadastrada"))</f>
        <v/>
      </c>
      <c r="D971" s="62"/>
      <c r="E971" s="62"/>
      <c r="F971" s="63"/>
    </row>
    <row r="972" spans="1:6" x14ac:dyDescent="0.3">
      <c r="A972" s="64"/>
      <c r="B972" s="61"/>
      <c r="C972" s="67" t="str">
        <f>IF(B972="","",IFERROR(INDEX(Carteira!$B$5:$B$204,MATCH(B972,Carteira!$A$5:$A$204,0)),"Obra não cadastrada"))</f>
        <v/>
      </c>
      <c r="D972" s="62"/>
      <c r="E972" s="62"/>
      <c r="F972" s="63"/>
    </row>
    <row r="973" spans="1:6" x14ac:dyDescent="0.3">
      <c r="A973" s="64"/>
      <c r="B973" s="61"/>
      <c r="C973" s="67" t="str">
        <f>IF(B973="","",IFERROR(INDEX(Carteira!$B$5:$B$204,MATCH(B973,Carteira!$A$5:$A$204,0)),"Obra não cadastrada"))</f>
        <v/>
      </c>
      <c r="D973" s="62"/>
      <c r="E973" s="62"/>
      <c r="F973" s="63"/>
    </row>
    <row r="974" spans="1:6" x14ac:dyDescent="0.3">
      <c r="A974" s="64"/>
      <c r="B974" s="61"/>
      <c r="C974" s="67" t="str">
        <f>IF(B974="","",IFERROR(INDEX(Carteira!$B$5:$B$204,MATCH(B974,Carteira!$A$5:$A$204,0)),"Obra não cadastrada"))</f>
        <v/>
      </c>
      <c r="D974" s="62"/>
      <c r="E974" s="62"/>
      <c r="F974" s="63"/>
    </row>
    <row r="975" spans="1:6" x14ac:dyDescent="0.3">
      <c r="A975" s="64"/>
      <c r="B975" s="61"/>
      <c r="C975" s="67" t="str">
        <f>IF(B975="","",IFERROR(INDEX(Carteira!$B$5:$B$204,MATCH(B975,Carteira!$A$5:$A$204,0)),"Obra não cadastrada"))</f>
        <v/>
      </c>
      <c r="D975" s="62"/>
      <c r="E975" s="62"/>
      <c r="F975" s="63"/>
    </row>
    <row r="976" spans="1:6" x14ac:dyDescent="0.3">
      <c r="A976" s="64"/>
      <c r="B976" s="61"/>
      <c r="C976" s="67" t="str">
        <f>IF(B976="","",IFERROR(INDEX(Carteira!$B$5:$B$204,MATCH(B976,Carteira!$A$5:$A$204,0)),"Obra não cadastrada"))</f>
        <v/>
      </c>
      <c r="D976" s="62"/>
      <c r="E976" s="62"/>
      <c r="F976" s="63"/>
    </row>
    <row r="977" spans="1:6" x14ac:dyDescent="0.3">
      <c r="A977" s="64"/>
      <c r="B977" s="61"/>
      <c r="C977" s="67" t="str">
        <f>IF(B977="","",IFERROR(INDEX(Carteira!$B$5:$B$204,MATCH(B977,Carteira!$A$5:$A$204,0)),"Obra não cadastrada"))</f>
        <v/>
      </c>
      <c r="D977" s="62"/>
      <c r="E977" s="62"/>
      <c r="F977" s="63"/>
    </row>
    <row r="978" spans="1:6" x14ac:dyDescent="0.3">
      <c r="A978" s="64"/>
      <c r="B978" s="61"/>
      <c r="C978" s="67" t="str">
        <f>IF(B978="","",IFERROR(INDEX(Carteira!$B$5:$B$204,MATCH(B978,Carteira!$A$5:$A$204,0)),"Obra não cadastrada"))</f>
        <v/>
      </c>
      <c r="D978" s="62"/>
      <c r="E978" s="62"/>
      <c r="F978" s="63"/>
    </row>
    <row r="979" spans="1:6" x14ac:dyDescent="0.3">
      <c r="A979" s="64"/>
      <c r="B979" s="61"/>
      <c r="C979" s="67" t="str">
        <f>IF(B979="","",IFERROR(INDEX(Carteira!$B$5:$B$204,MATCH(B979,Carteira!$A$5:$A$204,0)),"Obra não cadastrada"))</f>
        <v/>
      </c>
      <c r="D979" s="62"/>
      <c r="E979" s="62"/>
      <c r="F979" s="63"/>
    </row>
    <row r="980" spans="1:6" x14ac:dyDescent="0.3">
      <c r="A980" s="64"/>
      <c r="B980" s="61"/>
      <c r="C980" s="67" t="str">
        <f>IF(B980="","",IFERROR(INDEX(Carteira!$B$5:$B$204,MATCH(B980,Carteira!$A$5:$A$204,0)),"Obra não cadastrada"))</f>
        <v/>
      </c>
      <c r="D980" s="62"/>
      <c r="E980" s="62"/>
      <c r="F980" s="63"/>
    </row>
    <row r="981" spans="1:6" x14ac:dyDescent="0.3">
      <c r="A981" s="64"/>
      <c r="B981" s="61"/>
      <c r="C981" s="67" t="str">
        <f>IF(B981="","",IFERROR(INDEX(Carteira!$B$5:$B$204,MATCH(B981,Carteira!$A$5:$A$204,0)),"Obra não cadastrada"))</f>
        <v/>
      </c>
      <c r="D981" s="62"/>
      <c r="E981" s="62"/>
      <c r="F981" s="63"/>
    </row>
    <row r="982" spans="1:6" x14ac:dyDescent="0.3">
      <c r="A982" s="64"/>
      <c r="B982" s="61"/>
      <c r="C982" s="67" t="str">
        <f>IF(B982="","",IFERROR(INDEX(Carteira!$B$5:$B$204,MATCH(B982,Carteira!$A$5:$A$204,0)),"Obra não cadastrada"))</f>
        <v/>
      </c>
      <c r="D982" s="62"/>
      <c r="E982" s="62"/>
      <c r="F982" s="63"/>
    </row>
    <row r="983" spans="1:6" x14ac:dyDescent="0.3">
      <c r="A983" s="64"/>
      <c r="B983" s="61"/>
      <c r="C983" s="67" t="str">
        <f>IF(B983="","",IFERROR(INDEX(Carteira!$B$5:$B$204,MATCH(B983,Carteira!$A$5:$A$204,0)),"Obra não cadastrada"))</f>
        <v/>
      </c>
      <c r="D983" s="62"/>
      <c r="E983" s="62"/>
      <c r="F983" s="63"/>
    </row>
    <row r="984" spans="1:6" x14ac:dyDescent="0.3">
      <c r="A984" s="64"/>
      <c r="B984" s="61"/>
      <c r="C984" s="67" t="str">
        <f>IF(B984="","",IFERROR(INDEX(Carteira!$B$5:$B$204,MATCH(B984,Carteira!$A$5:$A$204,0)),"Obra não cadastrada"))</f>
        <v/>
      </c>
      <c r="D984" s="62"/>
      <c r="E984" s="62"/>
      <c r="F984" s="63"/>
    </row>
    <row r="985" spans="1:6" x14ac:dyDescent="0.3">
      <c r="A985" s="64"/>
      <c r="B985" s="61"/>
      <c r="C985" s="67" t="str">
        <f>IF(B985="","",IFERROR(INDEX(Carteira!$B$5:$B$204,MATCH(B985,Carteira!$A$5:$A$204,0)),"Obra não cadastrada"))</f>
        <v/>
      </c>
      <c r="D985" s="62"/>
      <c r="E985" s="62"/>
      <c r="F985" s="63"/>
    </row>
    <row r="986" spans="1:6" x14ac:dyDescent="0.3">
      <c r="A986" s="64"/>
      <c r="B986" s="61"/>
      <c r="C986" s="67" t="str">
        <f>IF(B986="","",IFERROR(INDEX(Carteira!$B$5:$B$204,MATCH(B986,Carteira!$A$5:$A$204,0)),"Obra não cadastrada"))</f>
        <v/>
      </c>
      <c r="D986" s="62"/>
      <c r="E986" s="62"/>
      <c r="F986" s="63"/>
    </row>
    <row r="987" spans="1:6" x14ac:dyDescent="0.3">
      <c r="A987" s="64"/>
      <c r="B987" s="61"/>
      <c r="C987" s="67" t="str">
        <f>IF(B987="","",IFERROR(INDEX(Carteira!$B$5:$B$204,MATCH(B987,Carteira!$A$5:$A$204,0)),"Obra não cadastrada"))</f>
        <v/>
      </c>
      <c r="D987" s="62"/>
      <c r="E987" s="62"/>
      <c r="F987" s="63"/>
    </row>
    <row r="988" spans="1:6" x14ac:dyDescent="0.3">
      <c r="A988" s="64"/>
      <c r="B988" s="61"/>
      <c r="C988" s="67" t="str">
        <f>IF(B988="","",IFERROR(INDEX(Carteira!$B$5:$B$204,MATCH(B988,Carteira!$A$5:$A$204,0)),"Obra não cadastrada"))</f>
        <v/>
      </c>
      <c r="D988" s="62"/>
      <c r="E988" s="62"/>
      <c r="F988" s="63"/>
    </row>
    <row r="989" spans="1:6" x14ac:dyDescent="0.3">
      <c r="A989" s="64"/>
      <c r="B989" s="61"/>
      <c r="C989" s="67" t="str">
        <f>IF(B989="","",IFERROR(INDEX(Carteira!$B$5:$B$204,MATCH(B989,Carteira!$A$5:$A$204,0)),"Obra não cadastrada"))</f>
        <v/>
      </c>
      <c r="D989" s="62"/>
      <c r="E989" s="62"/>
      <c r="F989" s="63"/>
    </row>
    <row r="990" spans="1:6" x14ac:dyDescent="0.3">
      <c r="A990" s="64"/>
      <c r="B990" s="61"/>
      <c r="C990" s="67" t="str">
        <f>IF(B990="","",IFERROR(INDEX(Carteira!$B$5:$B$204,MATCH(B990,Carteira!$A$5:$A$204,0)),"Obra não cadastrada"))</f>
        <v/>
      </c>
      <c r="D990" s="62"/>
      <c r="E990" s="62"/>
      <c r="F990" s="63"/>
    </row>
    <row r="991" spans="1:6" x14ac:dyDescent="0.3">
      <c r="A991" s="64"/>
      <c r="B991" s="61"/>
      <c r="C991" s="67" t="str">
        <f>IF(B991="","",IFERROR(INDEX(Carteira!$B$5:$B$204,MATCH(B991,Carteira!$A$5:$A$204,0)),"Obra não cadastrada"))</f>
        <v/>
      </c>
      <c r="D991" s="62"/>
      <c r="E991" s="62"/>
      <c r="F991" s="63"/>
    </row>
    <row r="992" spans="1:6" x14ac:dyDescent="0.3">
      <c r="A992" s="64"/>
      <c r="B992" s="61"/>
      <c r="C992" s="67" t="str">
        <f>IF(B992="","",IFERROR(INDEX(Carteira!$B$5:$B$204,MATCH(B992,Carteira!$A$5:$A$204,0)),"Obra não cadastrada"))</f>
        <v/>
      </c>
      <c r="D992" s="62"/>
      <c r="E992" s="62"/>
      <c r="F992" s="63"/>
    </row>
    <row r="993" spans="1:6" x14ac:dyDescent="0.3">
      <c r="A993" s="64"/>
      <c r="B993" s="61"/>
      <c r="C993" s="67" t="str">
        <f>IF(B993="","",IFERROR(INDEX(Carteira!$B$5:$B$204,MATCH(B993,Carteira!$A$5:$A$204,0)),"Obra não cadastrada"))</f>
        <v/>
      </c>
      <c r="D993" s="62"/>
      <c r="E993" s="62"/>
      <c r="F993" s="63"/>
    </row>
    <row r="994" spans="1:6" x14ac:dyDescent="0.3">
      <c r="A994" s="64"/>
      <c r="B994" s="61"/>
      <c r="C994" s="67" t="str">
        <f>IF(B994="","",IFERROR(INDEX(Carteira!$B$5:$B$204,MATCH(B994,Carteira!$A$5:$A$204,0)),"Obra não cadastrada"))</f>
        <v/>
      </c>
      <c r="D994" s="62"/>
      <c r="E994" s="62"/>
      <c r="F994" s="63"/>
    </row>
    <row r="995" spans="1:6" x14ac:dyDescent="0.3">
      <c r="A995" s="64"/>
      <c r="B995" s="61"/>
      <c r="C995" s="67" t="str">
        <f>IF(B995="","",IFERROR(INDEX(Carteira!$B$5:$B$204,MATCH(B995,Carteira!$A$5:$A$204,0)),"Obra não cadastrada"))</f>
        <v/>
      </c>
      <c r="D995" s="62"/>
      <c r="E995" s="62"/>
      <c r="F995" s="63"/>
    </row>
    <row r="996" spans="1:6" x14ac:dyDescent="0.3">
      <c r="A996" s="64"/>
      <c r="B996" s="61"/>
      <c r="C996" s="67" t="str">
        <f>IF(B996="","",IFERROR(INDEX(Carteira!$B$5:$B$204,MATCH(B996,Carteira!$A$5:$A$204,0)),"Obra não cadastrada"))</f>
        <v/>
      </c>
      <c r="D996" s="62"/>
      <c r="E996" s="62"/>
      <c r="F996" s="63"/>
    </row>
    <row r="997" spans="1:6" x14ac:dyDescent="0.3">
      <c r="A997" s="64"/>
      <c r="B997" s="61"/>
      <c r="C997" s="67" t="str">
        <f>IF(B997="","",IFERROR(INDEX(Carteira!$B$5:$B$204,MATCH(B997,Carteira!$A$5:$A$204,0)),"Obra não cadastrada"))</f>
        <v/>
      </c>
      <c r="D997" s="62"/>
      <c r="E997" s="62"/>
      <c r="F997" s="63"/>
    </row>
    <row r="998" spans="1:6" x14ac:dyDescent="0.3">
      <c r="A998" s="64"/>
      <c r="B998" s="61"/>
      <c r="C998" s="67" t="str">
        <f>IF(B998="","",IFERROR(INDEX(Carteira!$B$5:$B$204,MATCH(B998,Carteira!$A$5:$A$204,0)),"Obra não cadastrada"))</f>
        <v/>
      </c>
      <c r="D998" s="62"/>
      <c r="E998" s="62"/>
      <c r="F998" s="63"/>
    </row>
    <row r="999" spans="1:6" x14ac:dyDescent="0.3">
      <c r="A999" s="64"/>
      <c r="B999" s="61"/>
      <c r="C999" s="67" t="str">
        <f>IF(B999="","",IFERROR(INDEX(Carteira!$B$5:$B$204,MATCH(B999,Carteira!$A$5:$A$204,0)),"Obra não cadastrada"))</f>
        <v/>
      </c>
      <c r="D999" s="62"/>
      <c r="E999" s="62"/>
      <c r="F999" s="63"/>
    </row>
    <row r="1000" spans="1:6" x14ac:dyDescent="0.3">
      <c r="A1000" s="64"/>
      <c r="B1000" s="61"/>
      <c r="C1000" s="67" t="str">
        <f>IF(B1000="","",IFERROR(INDEX(Carteira!$B$5:$B$204,MATCH(B1000,Carteira!$A$5:$A$204,0)),"Obra não cadastrada"))</f>
        <v/>
      </c>
      <c r="D1000" s="62"/>
      <c r="E1000" s="62"/>
      <c r="F1000" s="63"/>
    </row>
    <row r="1001" spans="1:6" x14ac:dyDescent="0.3">
      <c r="A1001" s="64"/>
      <c r="B1001" s="61"/>
      <c r="C1001" s="67" t="str">
        <f>IF(B1001="","",IFERROR(INDEX(Carteira!$B$5:$B$204,MATCH(B1001,Carteira!$A$5:$A$204,0)),"Obra não cadastrada"))</f>
        <v/>
      </c>
      <c r="D1001" s="62"/>
      <c r="E1001" s="62"/>
      <c r="F1001" s="63"/>
    </row>
    <row r="1002" spans="1:6" x14ac:dyDescent="0.3">
      <c r="A1002" s="64"/>
      <c r="B1002" s="61"/>
      <c r="C1002" s="67" t="str">
        <f>IF(B1002="","",IFERROR(INDEX(Carteira!$B$5:$B$204,MATCH(B1002,Carteira!$A$5:$A$204,0)),"Obra não cadastrada"))</f>
        <v/>
      </c>
      <c r="D1002" s="62"/>
      <c r="E1002" s="62"/>
      <c r="F1002" s="63"/>
    </row>
    <row r="1003" spans="1:6" x14ac:dyDescent="0.3">
      <c r="A1003" s="64"/>
      <c r="B1003" s="61"/>
      <c r="C1003" s="67" t="str">
        <f>IF(B1003="","",IFERROR(INDEX(Carteira!$B$5:$B$204,MATCH(B1003,Carteira!$A$5:$A$204,0)),"Obra não cadastrada"))</f>
        <v/>
      </c>
      <c r="D1003" s="62"/>
      <c r="E1003" s="62"/>
      <c r="F1003" s="63"/>
    </row>
    <row r="1004" spans="1:6" x14ac:dyDescent="0.3">
      <c r="A1004" s="64"/>
      <c r="B1004" s="61"/>
      <c r="C1004" s="67" t="str">
        <f>IF(B1004="","",IFERROR(INDEX(Carteira!$B$5:$B$204,MATCH(B1004,Carteira!$A$5:$A$204,0)),"Obra não cadastrada"))</f>
        <v/>
      </c>
      <c r="D1004" s="62"/>
      <c r="E1004" s="62"/>
      <c r="F1004" s="63"/>
    </row>
  </sheetData>
  <autoFilter ref="A4:F1004" xr:uid="{00000000-0009-0000-0000-000002000000}"/>
  <mergeCells count="3">
    <mergeCell ref="A1:F1"/>
    <mergeCell ref="A2:F2"/>
    <mergeCell ref="A3:F3"/>
  </mergeCells>
  <conditionalFormatting sqref="C5:C1004">
    <cfRule type="cellIs" dxfId="0" priority="2" operator="equal">
      <formula>"Obra não cadastrada"</formula>
    </cfRule>
  </conditionalFormatting>
  <dataValidations count="3">
    <dataValidation type="list" allowBlank="1" showErrorMessage="1" errorTitle="Valor inválido" error="Escolha um valor da lista (cadastre novos valores na aba Listas)." sqref="B5:B1004" xr:uid="{00000000-0002-0000-0200-000000000000}">
      <formula1>lst_obras</formula1>
      <formula2>0</formula2>
    </dataValidation>
    <dataValidation type="list" allowBlank="1" showErrorMessage="1" errorTitle="Valor inválido" error="Escolha um valor da lista (cadastre novos valores na aba Listas)." sqref="D5:D1004" xr:uid="{00000000-0002-0000-0200-000001000000}">
      <formula1>lst_evento</formula1>
      <formula2>0</formula2>
    </dataValidation>
    <dataValidation type="date" operator="greaterThan" allowBlank="1" showErrorMessage="1" errorTitle="Data inválida" error="Informe uma data válida (dd/mm/aaaa)." sqref="A5:A1004" xr:uid="{00000000-0002-0000-0200-000002000000}">
      <formula1>DATE(2020,1,1)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B3B3"/>
  </sheetPr>
  <dimension ref="A1:K13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3" width="30" customWidth="1"/>
    <col min="4" max="4" width="22" customWidth="1"/>
    <col min="5" max="5" width="16" customWidth="1"/>
    <col min="6" max="7" width="30" customWidth="1"/>
    <col min="8" max="8" width="20" customWidth="1"/>
    <col min="9" max="9" width="3" customWidth="1"/>
    <col min="10" max="10" width="46" customWidth="1"/>
    <col min="11" max="11" width="12" customWidth="1"/>
  </cols>
  <sheetData>
    <row r="1" spans="1:11" ht="25.5" customHeight="1" x14ac:dyDescent="0.3">
      <c r="A1" s="102" t="s">
        <v>139</v>
      </c>
      <c r="B1" s="102"/>
      <c r="C1" s="102"/>
      <c r="D1" s="102"/>
      <c r="E1" s="102"/>
      <c r="F1" s="102"/>
      <c r="G1" s="102"/>
      <c r="H1" s="102"/>
    </row>
    <row r="2" spans="1:11" ht="26.4" x14ac:dyDescent="0.3">
      <c r="A2" s="68" t="s">
        <v>52</v>
      </c>
      <c r="B2" s="68" t="s">
        <v>53</v>
      </c>
      <c r="C2" s="68" t="s">
        <v>54</v>
      </c>
      <c r="D2" s="68" t="s">
        <v>57</v>
      </c>
      <c r="E2" s="68" t="s">
        <v>36</v>
      </c>
      <c r="F2" s="68" t="s">
        <v>51</v>
      </c>
      <c r="G2" s="68" t="s">
        <v>111</v>
      </c>
      <c r="H2" s="68" t="s">
        <v>27</v>
      </c>
      <c r="J2" s="69" t="s">
        <v>140</v>
      </c>
      <c r="K2" s="69" t="s">
        <v>141</v>
      </c>
    </row>
    <row r="3" spans="1:11" x14ac:dyDescent="0.3">
      <c r="A3" s="70" t="s">
        <v>90</v>
      </c>
      <c r="B3" s="70" t="s">
        <v>142</v>
      </c>
      <c r="C3" s="70" t="s">
        <v>78</v>
      </c>
      <c r="D3" s="70" t="s">
        <v>68</v>
      </c>
      <c r="E3" s="71" t="s">
        <v>7</v>
      </c>
      <c r="F3" s="70" t="s">
        <v>64</v>
      </c>
      <c r="G3" s="70" t="s">
        <v>119</v>
      </c>
      <c r="H3" s="70" t="s">
        <v>63</v>
      </c>
      <c r="J3" s="72" t="s">
        <v>143</v>
      </c>
      <c r="K3" s="73">
        <v>7</v>
      </c>
    </row>
    <row r="4" spans="1:11" x14ac:dyDescent="0.3">
      <c r="A4" s="70" t="s">
        <v>65</v>
      </c>
      <c r="B4" s="70" t="s">
        <v>82</v>
      </c>
      <c r="C4" s="70" t="s">
        <v>144</v>
      </c>
      <c r="D4" s="70" t="s">
        <v>92</v>
      </c>
      <c r="E4" s="71" t="s">
        <v>8</v>
      </c>
      <c r="F4" s="70" t="s">
        <v>105</v>
      </c>
      <c r="G4" s="70" t="s">
        <v>114</v>
      </c>
      <c r="H4" s="70" t="s">
        <v>72</v>
      </c>
      <c r="J4" s="72" t="s">
        <v>145</v>
      </c>
      <c r="K4" s="73">
        <v>14</v>
      </c>
    </row>
    <row r="5" spans="1:11" x14ac:dyDescent="0.3">
      <c r="A5" s="70" t="s">
        <v>146</v>
      </c>
      <c r="B5" s="70" t="s">
        <v>73</v>
      </c>
      <c r="C5" s="70" t="s">
        <v>147</v>
      </c>
      <c r="D5" s="70" t="s">
        <v>67</v>
      </c>
      <c r="E5" s="71" t="s">
        <v>9</v>
      </c>
      <c r="G5" s="70" t="s">
        <v>121</v>
      </c>
      <c r="H5" s="70" t="s">
        <v>77</v>
      </c>
      <c r="J5" s="72" t="s">
        <v>148</v>
      </c>
      <c r="K5" s="73">
        <v>60</v>
      </c>
    </row>
    <row r="6" spans="1:11" x14ac:dyDescent="0.3">
      <c r="A6" s="70" t="s">
        <v>56</v>
      </c>
      <c r="B6" s="70" t="s">
        <v>66</v>
      </c>
      <c r="C6" s="70" t="s">
        <v>88</v>
      </c>
      <c r="E6" s="71" t="s">
        <v>43</v>
      </c>
      <c r="G6" s="70" t="s">
        <v>126</v>
      </c>
      <c r="H6" s="70" t="s">
        <v>86</v>
      </c>
      <c r="J6" s="72" t="s">
        <v>149</v>
      </c>
      <c r="K6" s="73">
        <v>30</v>
      </c>
    </row>
    <row r="7" spans="1:11" x14ac:dyDescent="0.3">
      <c r="A7" s="70" t="s">
        <v>150</v>
      </c>
      <c r="B7" s="70" t="s">
        <v>97</v>
      </c>
      <c r="C7" s="70" t="s">
        <v>67</v>
      </c>
      <c r="E7" s="74"/>
      <c r="G7" s="70" t="s">
        <v>117</v>
      </c>
      <c r="H7" s="70" t="s">
        <v>96</v>
      </c>
    </row>
    <row r="8" spans="1:11" ht="20.399999999999999" x14ac:dyDescent="0.3">
      <c r="A8" s="70" t="s">
        <v>151</v>
      </c>
      <c r="B8" s="70" t="s">
        <v>87</v>
      </c>
      <c r="E8" s="54" t="s">
        <v>152</v>
      </c>
      <c r="G8" s="70" t="s">
        <v>134</v>
      </c>
      <c r="H8" s="70" t="s">
        <v>104</v>
      </c>
      <c r="J8" s="75" t="s">
        <v>153</v>
      </c>
    </row>
    <row r="9" spans="1:11" x14ac:dyDescent="0.3">
      <c r="A9" s="70" t="s">
        <v>154</v>
      </c>
      <c r="B9" s="70" t="s">
        <v>67</v>
      </c>
      <c r="G9" s="70" t="s">
        <v>129</v>
      </c>
    </row>
    <row r="10" spans="1:11" x14ac:dyDescent="0.3">
      <c r="A10" s="70" t="s">
        <v>67</v>
      </c>
      <c r="G10" s="70" t="s">
        <v>123</v>
      </c>
    </row>
    <row r="11" spans="1:11" x14ac:dyDescent="0.3">
      <c r="G11" s="70" t="s">
        <v>38</v>
      </c>
    </row>
    <row r="12" spans="1:11" x14ac:dyDescent="0.3">
      <c r="G12" s="70" t="s">
        <v>137</v>
      </c>
    </row>
    <row r="13" spans="1:11" x14ac:dyDescent="0.3">
      <c r="G13" s="70" t="s">
        <v>155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FB3B3"/>
  </sheetPr>
  <dimension ref="B1:C53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" customWidth="1"/>
    <col min="2" max="2" width="26" customWidth="1"/>
    <col min="3" max="3" width="95" customWidth="1"/>
  </cols>
  <sheetData>
    <row r="1" spans="2:3" ht="30" customHeight="1" x14ac:dyDescent="0.3">
      <c r="B1" s="82" t="s">
        <v>156</v>
      </c>
      <c r="C1" s="82"/>
    </row>
    <row r="3" spans="2:3" ht="19.5" customHeight="1" x14ac:dyDescent="0.3">
      <c r="B3" s="103" t="s">
        <v>157</v>
      </c>
      <c r="C3" s="103"/>
    </row>
    <row r="4" spans="2:3" ht="42" customHeight="1" x14ac:dyDescent="0.3">
      <c r="B4" s="76" t="s">
        <v>158</v>
      </c>
      <c r="C4" s="77" t="s">
        <v>159</v>
      </c>
    </row>
    <row r="6" spans="2:3" ht="19.5" customHeight="1" x14ac:dyDescent="0.3">
      <c r="B6" s="103" t="s">
        <v>160</v>
      </c>
      <c r="C6" s="103"/>
    </row>
    <row r="7" spans="2:3" ht="15.75" customHeight="1" x14ac:dyDescent="0.3">
      <c r="B7" s="76" t="s">
        <v>161</v>
      </c>
      <c r="C7" s="77" t="s">
        <v>162</v>
      </c>
    </row>
    <row r="8" spans="2:3" ht="27.75" customHeight="1" x14ac:dyDescent="0.3">
      <c r="B8" s="76" t="s">
        <v>163</v>
      </c>
      <c r="C8" s="77" t="s">
        <v>164</v>
      </c>
    </row>
    <row r="9" spans="2:3" ht="27.75" customHeight="1" x14ac:dyDescent="0.3">
      <c r="B9" s="76" t="s">
        <v>165</v>
      </c>
      <c r="C9" s="77" t="s">
        <v>166</v>
      </c>
    </row>
    <row r="10" spans="2:3" ht="27.75" customHeight="1" x14ac:dyDescent="0.3">
      <c r="B10" s="76" t="s">
        <v>167</v>
      </c>
      <c r="C10" s="77" t="s">
        <v>168</v>
      </c>
    </row>
    <row r="11" spans="2:3" ht="15.75" customHeight="1" x14ac:dyDescent="0.3">
      <c r="B11" s="76" t="s">
        <v>169</v>
      </c>
      <c r="C11" s="77" t="s">
        <v>170</v>
      </c>
    </row>
    <row r="13" spans="2:3" ht="19.5" customHeight="1" x14ac:dyDescent="0.3">
      <c r="B13" s="103" t="s">
        <v>171</v>
      </c>
      <c r="C13" s="103"/>
    </row>
    <row r="14" spans="2:3" ht="27.75" customHeight="1" x14ac:dyDescent="0.3">
      <c r="B14" s="76" t="s">
        <v>172</v>
      </c>
      <c r="C14" s="77" t="s">
        <v>173</v>
      </c>
    </row>
    <row r="15" spans="2:3" ht="27.75" customHeight="1" x14ac:dyDescent="0.3">
      <c r="B15" s="76" t="s">
        <v>174</v>
      </c>
      <c r="C15" s="77" t="s">
        <v>175</v>
      </c>
    </row>
    <row r="16" spans="2:3" ht="27.75" customHeight="1" x14ac:dyDescent="0.3">
      <c r="B16" s="76" t="s">
        <v>176</v>
      </c>
      <c r="C16" s="77" t="s">
        <v>177</v>
      </c>
    </row>
    <row r="17" spans="2:3" ht="15.75" customHeight="1" x14ac:dyDescent="0.3">
      <c r="B17" s="76" t="s">
        <v>178</v>
      </c>
      <c r="C17" s="77" t="s">
        <v>179</v>
      </c>
    </row>
    <row r="19" spans="2:3" ht="19.5" customHeight="1" x14ac:dyDescent="0.3">
      <c r="B19" s="103" t="s">
        <v>180</v>
      </c>
      <c r="C19" s="103"/>
    </row>
    <row r="20" spans="2:3" ht="27.75" customHeight="1" x14ac:dyDescent="0.3">
      <c r="B20" s="76" t="s">
        <v>181</v>
      </c>
      <c r="C20" s="77" t="s">
        <v>182</v>
      </c>
    </row>
    <row r="21" spans="2:3" ht="27.75" customHeight="1" x14ac:dyDescent="0.3">
      <c r="B21" s="76" t="s">
        <v>183</v>
      </c>
      <c r="C21" s="77" t="s">
        <v>184</v>
      </c>
    </row>
    <row r="22" spans="2:3" ht="42" customHeight="1" x14ac:dyDescent="0.3">
      <c r="B22" s="76" t="s">
        <v>185</v>
      </c>
      <c r="C22" s="77" t="s">
        <v>186</v>
      </c>
    </row>
    <row r="23" spans="2:3" ht="27.75" customHeight="1" x14ac:dyDescent="0.3">
      <c r="B23" s="76" t="s">
        <v>187</v>
      </c>
      <c r="C23" s="77" t="s">
        <v>188</v>
      </c>
    </row>
    <row r="24" spans="2:3" ht="27.75" customHeight="1" x14ac:dyDescent="0.3">
      <c r="B24" s="76" t="s">
        <v>189</v>
      </c>
      <c r="C24" s="77" t="s">
        <v>190</v>
      </c>
    </row>
    <row r="26" spans="2:3" ht="19.5" customHeight="1" x14ac:dyDescent="0.3">
      <c r="B26" s="103" t="s">
        <v>191</v>
      </c>
      <c r="C26" s="103"/>
    </row>
    <row r="27" spans="2:3" ht="15.75" customHeight="1" x14ac:dyDescent="0.3">
      <c r="B27" s="78" t="s">
        <v>7</v>
      </c>
      <c r="C27" s="77" t="s">
        <v>40</v>
      </c>
    </row>
    <row r="28" spans="2:3" ht="15.75" customHeight="1" x14ac:dyDescent="0.3">
      <c r="B28" s="79" t="s">
        <v>8</v>
      </c>
      <c r="C28" s="77" t="s">
        <v>41</v>
      </c>
    </row>
    <row r="29" spans="2:3" ht="15.75" customHeight="1" x14ac:dyDescent="0.3">
      <c r="B29" s="80" t="s">
        <v>9</v>
      </c>
      <c r="C29" s="77" t="s">
        <v>42</v>
      </c>
    </row>
    <row r="30" spans="2:3" ht="15.75" customHeight="1" x14ac:dyDescent="0.3">
      <c r="B30" s="81" t="s">
        <v>43</v>
      </c>
      <c r="C30" s="77" t="s">
        <v>44</v>
      </c>
    </row>
    <row r="32" spans="2:3" ht="19.5" customHeight="1" x14ac:dyDescent="0.3">
      <c r="B32" s="103" t="s">
        <v>192</v>
      </c>
      <c r="C32" s="103"/>
    </row>
    <row r="33" spans="2:3" ht="15.75" customHeight="1" x14ac:dyDescent="0.3">
      <c r="B33" s="77" t="s">
        <v>34</v>
      </c>
      <c r="C33" s="77" t="s">
        <v>193</v>
      </c>
    </row>
    <row r="34" spans="2:3" ht="15.75" customHeight="1" x14ac:dyDescent="0.3">
      <c r="B34" s="77" t="s">
        <v>35</v>
      </c>
      <c r="C34" s="77" t="s">
        <v>194</v>
      </c>
    </row>
    <row r="35" spans="2:3" ht="15.75" customHeight="1" x14ac:dyDescent="0.3">
      <c r="B35" s="77" t="s">
        <v>27</v>
      </c>
      <c r="C35" s="77" t="s">
        <v>195</v>
      </c>
    </row>
    <row r="36" spans="2:3" ht="15.75" customHeight="1" x14ac:dyDescent="0.3">
      <c r="B36" s="77" t="s">
        <v>51</v>
      </c>
      <c r="C36" s="77" t="s">
        <v>196</v>
      </c>
    </row>
    <row r="37" spans="2:3" ht="15.75" customHeight="1" x14ac:dyDescent="0.3">
      <c r="B37" s="77" t="s">
        <v>52</v>
      </c>
      <c r="C37" s="77" t="s">
        <v>197</v>
      </c>
    </row>
    <row r="38" spans="2:3" ht="15.75" customHeight="1" x14ac:dyDescent="0.3">
      <c r="B38" s="77" t="s">
        <v>53</v>
      </c>
      <c r="C38" s="77" t="s">
        <v>198</v>
      </c>
    </row>
    <row r="39" spans="2:3" ht="15.75" customHeight="1" x14ac:dyDescent="0.3">
      <c r="B39" s="77" t="s">
        <v>54</v>
      </c>
      <c r="C39" s="77" t="s">
        <v>199</v>
      </c>
    </row>
    <row r="40" spans="2:3" ht="15.75" customHeight="1" x14ac:dyDescent="0.3">
      <c r="B40" s="77" t="s">
        <v>55</v>
      </c>
      <c r="C40" s="77" t="s">
        <v>200</v>
      </c>
    </row>
    <row r="41" spans="2:3" ht="15.75" customHeight="1" x14ac:dyDescent="0.3">
      <c r="B41" s="77" t="s">
        <v>56</v>
      </c>
      <c r="C41" s="77" t="s">
        <v>201</v>
      </c>
    </row>
    <row r="42" spans="2:3" ht="15.75" customHeight="1" x14ac:dyDescent="0.3">
      <c r="B42" s="77" t="s">
        <v>57</v>
      </c>
      <c r="C42" s="77" t="s">
        <v>202</v>
      </c>
    </row>
    <row r="43" spans="2:3" ht="15.75" customHeight="1" x14ac:dyDescent="0.3">
      <c r="B43" s="77" t="s">
        <v>58</v>
      </c>
      <c r="C43" s="77" t="s">
        <v>203</v>
      </c>
    </row>
    <row r="44" spans="2:3" ht="15.75" customHeight="1" x14ac:dyDescent="0.3">
      <c r="B44" s="77" t="s">
        <v>59</v>
      </c>
      <c r="C44" s="77" t="s">
        <v>204</v>
      </c>
    </row>
    <row r="45" spans="2:3" ht="15.75" customHeight="1" x14ac:dyDescent="0.3">
      <c r="B45" s="77" t="s">
        <v>37</v>
      </c>
      <c r="C45" s="77" t="s">
        <v>203</v>
      </c>
    </row>
    <row r="46" spans="2:3" ht="15.75" customHeight="1" x14ac:dyDescent="0.3">
      <c r="B46" s="77" t="s">
        <v>36</v>
      </c>
      <c r="C46" s="77" t="s">
        <v>205</v>
      </c>
    </row>
    <row r="47" spans="2:3" ht="15.75" customHeight="1" x14ac:dyDescent="0.3">
      <c r="B47" s="77" t="s">
        <v>38</v>
      </c>
      <c r="C47" s="77" t="s">
        <v>206</v>
      </c>
    </row>
    <row r="48" spans="2:3" ht="15.75" customHeight="1" x14ac:dyDescent="0.3">
      <c r="B48" s="77" t="s">
        <v>60</v>
      </c>
      <c r="C48" s="77" t="s">
        <v>207</v>
      </c>
    </row>
    <row r="50" spans="2:3" ht="19.5" customHeight="1" x14ac:dyDescent="0.3">
      <c r="B50" s="103" t="s">
        <v>208</v>
      </c>
      <c r="C50" s="103"/>
    </row>
    <row r="51" spans="2:3" ht="15.75" customHeight="1" x14ac:dyDescent="0.3">
      <c r="B51" s="76" t="s">
        <v>209</v>
      </c>
      <c r="C51" s="77" t="s">
        <v>210</v>
      </c>
    </row>
    <row r="52" spans="2:3" ht="15.75" customHeight="1" x14ac:dyDescent="0.3">
      <c r="B52" s="76" t="s">
        <v>211</v>
      </c>
      <c r="C52" s="77" t="s">
        <v>212</v>
      </c>
    </row>
    <row r="53" spans="2:3" ht="15.75" customHeight="1" x14ac:dyDescent="0.3">
      <c r="B53" s="76" t="s">
        <v>213</v>
      </c>
      <c r="C53" s="77" t="s">
        <v>214</v>
      </c>
    </row>
  </sheetData>
  <mergeCells count="8">
    <mergeCell ref="B26:C26"/>
    <mergeCell ref="B32:C32"/>
    <mergeCell ref="B50:C50"/>
    <mergeCell ref="B1:C1"/>
    <mergeCell ref="B3:C3"/>
    <mergeCell ref="B6:C6"/>
    <mergeCell ref="B13:C13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7</vt:i4>
      </vt:variant>
    </vt:vector>
  </HeadingPairs>
  <TitlesOfParts>
    <vt:vector size="13" baseType="lpstr">
      <vt:lpstr>Painel</vt:lpstr>
      <vt:lpstr>Carteira</vt:lpstr>
      <vt:lpstr>Planilha1</vt:lpstr>
      <vt:lpstr>Histórico</vt:lpstr>
      <vt:lpstr>Listas</vt:lpstr>
      <vt:lpstr>Guia</vt:lpstr>
      <vt:lpstr>Painel!Area_de_impressao</vt:lpstr>
      <vt:lpstr>par_alerta_dias</vt:lpstr>
      <vt:lpstr>par_critico_dias</vt:lpstr>
      <vt:lpstr>par_mob_alerta</vt:lpstr>
      <vt:lpstr>par_mob_critico</vt:lpstr>
      <vt:lpstr>Carteira!Titulos_de_impressao</vt:lpstr>
      <vt:lpstr>Histórico!Titulos_de_impressao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Osvaldo Santana da Silva Junior</cp:lastModifiedBy>
  <cp:revision>0</cp:revision>
  <dcterms:created xsi:type="dcterms:W3CDTF">2026-10-02T22:46:00Z</dcterms:created>
  <dcterms:modified xsi:type="dcterms:W3CDTF">2026-10-07T20:55:56Z</dcterms:modified>
  <dc:language>en-US</dc:language>
</cp:coreProperties>
</file>